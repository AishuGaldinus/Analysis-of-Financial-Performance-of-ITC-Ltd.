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9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1.xml" ContentType="application/vnd.openxmlformats-officedocument.drawing+xml"/>
  <Override PartName="/xl/ctrlProps/ctrlProp1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2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80355eeb6c1b4e/Documents/Aishu Docs/CMS MBA/Semester 3/FA/"/>
    </mc:Choice>
  </mc:AlternateContent>
  <xr:revisionPtr revIDLastSave="1991" documentId="14_{2FEBF597-4A46-40FE-8A50-6DCE82DA2EB9}" xr6:coauthVersionLast="47" xr6:coauthVersionMax="47" xr10:uidLastSave="{69AD6C05-7184-4B9C-885D-9F4A3680E9AD}"/>
  <bookViews>
    <workbookView xWindow="-108" yWindow="-108" windowWidth="23256" windowHeight="12456" firstSheet="5" activeTab="10" xr2:uid="{6F728DB2-5885-4A19-95E6-E4AE1C5932C2}"/>
  </bookViews>
  <sheets>
    <sheet name="Home Page" sheetId="12" r:id="rId1"/>
    <sheet name="Balance Sheet" sheetId="1" r:id="rId2"/>
    <sheet name="P&amp;L" sheetId="2" r:id="rId3"/>
    <sheet name="Stock Data" sheetId="5" r:id="rId4"/>
    <sheet name="Desc Stats" sheetId="6" r:id="rId5"/>
    <sheet name="Regression" sheetId="8" r:id="rId6"/>
    <sheet name="Correlation" sheetId="7" r:id="rId7"/>
    <sheet name="Sales Forecast" sheetId="10" r:id="rId8"/>
    <sheet name="Profit Forecast" sheetId="11" r:id="rId9"/>
    <sheet name="Competitor Analysis" sheetId="9" r:id="rId10"/>
    <sheet name="Dashboard" sheetId="13" r:id="rId11"/>
    <sheet name="Workings" sheetId="14" r:id="rId12"/>
  </sheets>
  <definedNames>
    <definedName name="_xlchart.v1.0" hidden="1">Workings!$I$11:$J$11</definedName>
    <definedName name="_xlchart.v1.1" hidden="1">Workings!$I$12:$J$12</definedName>
    <definedName name="_xlchart.v1.2" hidden="1">Workings!$I$14:$I$18</definedName>
    <definedName name="_xlchart.v1.3" hidden="1">Workings!$J$14:$J$18</definedName>
    <definedName name="ExternalData_1" localSheetId="3" hidden="1">'Stock Data'!$B$2:$C$9</definedName>
    <definedName name="ExternalData_2" localSheetId="3" hidden="1">'Stock Data'!$E$2:$F$9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5" i="8" l="1"/>
  <c r="P15" i="8"/>
  <c r="D38" i="14"/>
  <c r="D39" i="14"/>
  <c r="C39" i="14" a="1"/>
  <c r="C39" i="14" s="1"/>
  <c r="C38" i="14" a="1"/>
  <c r="C38" i="14" s="1"/>
  <c r="C23" i="14" a="1"/>
  <c r="C23" i="14" s="1"/>
  <c r="B37" i="14"/>
  <c r="N7" i="14"/>
  <c r="O7" i="14"/>
  <c r="K7" i="14"/>
  <c r="L7" i="14"/>
  <c r="L8" i="14" s="1"/>
  <c r="M7" i="14"/>
  <c r="M8" i="14" s="1"/>
  <c r="J7" i="14"/>
  <c r="K8" i="14" l="1"/>
  <c r="J8" i="14"/>
  <c r="N8" i="14"/>
  <c r="C37" i="14" a="1"/>
  <c r="C37" i="14" s="1"/>
  <c r="I17" i="14"/>
  <c r="I16" i="14"/>
  <c r="D37" i="14" l="1"/>
  <c r="D34" i="14"/>
  <c r="D24" i="14"/>
  <c r="D25" i="14"/>
  <c r="D26" i="14"/>
  <c r="D27" i="14"/>
  <c r="D28" i="14"/>
  <c r="D29" i="14"/>
  <c r="D30" i="14"/>
  <c r="D31" i="14"/>
  <c r="D32" i="14"/>
  <c r="D33" i="14"/>
  <c r="D35" i="14"/>
  <c r="D36" i="14"/>
  <c r="D23" i="14"/>
  <c r="C33" i="14" a="1"/>
  <c r="C33" i="14" s="1"/>
  <c r="E25" i="13" s="1"/>
  <c r="C32" i="14" a="1"/>
  <c r="C32" i="14" s="1"/>
  <c r="I12" i="13" s="1"/>
  <c r="C25" i="14" a="1"/>
  <c r="C25" i="14" s="1"/>
  <c r="C26" i="14" a="1"/>
  <c r="C26" i="14" s="1"/>
  <c r="C27" i="14" a="1"/>
  <c r="C27" i="14" s="1"/>
  <c r="C28" i="14" a="1"/>
  <c r="C28" i="14" s="1"/>
  <c r="C29" i="14" a="1"/>
  <c r="C29" i="14" s="1"/>
  <c r="J16" i="14" s="1"/>
  <c r="C30" i="14" a="1"/>
  <c r="C30" i="14" s="1"/>
  <c r="J17" i="14" s="1"/>
  <c r="C31" i="14" a="1"/>
  <c r="C31" i="14" s="1"/>
  <c r="C34" i="14" a="1"/>
  <c r="C34" i="14" s="1"/>
  <c r="I25" i="13" s="1"/>
  <c r="C35" i="14" a="1"/>
  <c r="C35" i="14" s="1"/>
  <c r="C36" i="14" a="1"/>
  <c r="C36" i="14" s="1"/>
  <c r="C24" i="14" a="1"/>
  <c r="C24" i="14" s="1"/>
  <c r="Q31" i="8"/>
  <c r="P31" i="8"/>
  <c r="P12" i="8"/>
  <c r="Q12" i="8" s="1"/>
  <c r="Q30" i="8"/>
  <c r="P30" i="8"/>
  <c r="P11" i="8"/>
  <c r="Q11" i="8" s="1"/>
  <c r="Q29" i="8"/>
  <c r="P29" i="8"/>
  <c r="P10" i="8"/>
  <c r="Q10" i="8" s="1"/>
  <c r="Q28" i="8"/>
  <c r="P28" i="8"/>
  <c r="P9" i="8"/>
  <c r="Q9" i="8" s="1"/>
  <c r="Q27" i="8"/>
  <c r="P27" i="8"/>
  <c r="P8" i="8"/>
  <c r="Q8" i="8" s="1"/>
  <c r="H13" i="7"/>
  <c r="C13" i="7"/>
  <c r="D12" i="7"/>
  <c r="H12" i="7"/>
  <c r="I12" i="7"/>
  <c r="C12" i="7"/>
  <c r="C7" i="11"/>
  <c r="C10" i="11"/>
  <c r="C8" i="11"/>
  <c r="C8" i="10"/>
  <c r="C11" i="10"/>
  <c r="C11" i="11"/>
  <c r="C7" i="10"/>
  <c r="C10" i="10"/>
  <c r="C9" i="11"/>
  <c r="C9" i="10"/>
  <c r="J15" i="14" l="1"/>
  <c r="J12" i="14"/>
  <c r="J14" i="14"/>
  <c r="I12" i="14"/>
  <c r="D9" i="11"/>
  <c r="E11" i="10"/>
  <c r="D8" i="10"/>
  <c r="D11" i="11"/>
  <c r="D11" i="10"/>
  <c r="E11" i="11"/>
  <c r="E10" i="10"/>
  <c r="D8" i="11"/>
  <c r="E8" i="10"/>
  <c r="E8" i="11"/>
  <c r="D10" i="10"/>
  <c r="E10" i="11"/>
  <c r="E9" i="10"/>
  <c r="D10" i="11"/>
  <c r="D9" i="10"/>
  <c r="D7" i="11"/>
  <c r="D7" i="10"/>
  <c r="E7" i="11"/>
  <c r="E7" i="10"/>
  <c r="E9" i="11"/>
  <c r="J18" i="1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1EB4A1-1F8C-4CCC-A7C9-0716323BA388}" keepAlive="1" name="Query - Table 2 (2)" description="Connection to the 'Table 2 (2)' query in the workbook." type="5" refreshedVersion="0" background="1" saveData="1">
    <dbPr connection="Provider=Microsoft.Mashup.OleDb.1;Data Source=$Workbook$;Location=&quot;Table 2 (2)&quot;;Extended Properties=&quot;&quot;" command="SELECT * FROM [Table 2 (2)]"/>
  </connection>
  <connection id="2" xr16:uid="{457FE27E-D9BF-47C2-975B-4114DA83C079}" keepAlive="1" name="Query - Table 2 (3)" description="Connection to the 'Table 2 (3)' query in the workbook." type="5" refreshedVersion="8" background="1" saveData="1">
    <dbPr connection="Provider=Microsoft.Mashup.OleDb.1;Data Source=$Workbook$;Location=&quot;Table 2 (3)&quot;;Extended Properties=&quot;&quot;" command="SELECT * FROM [Table 2 (3)]"/>
  </connection>
  <connection id="3" xr16:uid="{7BE3F160-5B88-450A-97A0-477338D28165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<sst xmlns="http://schemas.openxmlformats.org/spreadsheetml/2006/main" count="301" uniqueCount="187">
  <si>
    <t>12 mths</t>
  </si>
  <si>
    <t>EQUITIES AND LIABILITIES</t>
  </si>
  <si>
    <t>SHAREHOLDER'S FUNDS</t>
  </si>
  <si>
    <t>Equity Share Capital</t>
  </si>
  <si>
    <t>TOTAL SHARE CAPITAL</t>
  </si>
  <si>
    <t>Reserves and Surplus</t>
  </si>
  <si>
    <t>TOTAL RESERVES AND SURPLUS</t>
  </si>
  <si>
    <t>TOTAL SHAREHOLDERS FUNDS</t>
  </si>
  <si>
    <t>NON-CURRENT LIABILITIES</t>
  </si>
  <si>
    <t>Long Term Borrowings</t>
  </si>
  <si>
    <t>Deferred Tax Liabilities [Net]</t>
  </si>
  <si>
    <t>Other Long Term Liabilities</t>
  </si>
  <si>
    <t>Long Term Provisions</t>
  </si>
  <si>
    <t>TOTAL NON-CURRENT LIABILITIES</t>
  </si>
  <si>
    <t>CURRENT LIABILITIES</t>
  </si>
  <si>
    <t>Short Term Borrowings</t>
  </si>
  <si>
    <t>Trade Payables</t>
  </si>
  <si>
    <t>Other Current Liabilities</t>
  </si>
  <si>
    <t>Short Term Provisions</t>
  </si>
  <si>
    <t>TOTAL CURRENT LIABILITIES</t>
  </si>
  <si>
    <t>TOTAL CAPITAL AND LIABILITIES</t>
  </si>
  <si>
    <t>ASSETS</t>
  </si>
  <si>
    <t>NON-CURRENT ASSETS</t>
  </si>
  <si>
    <t>Tangible Assets</t>
  </si>
  <si>
    <t>Intangible Assets</t>
  </si>
  <si>
    <t>Capital Work-In-Progress</t>
  </si>
  <si>
    <t>Other Assets</t>
  </si>
  <si>
    <t>FIXED ASSETS</t>
  </si>
  <si>
    <t>Non-Current Investments</t>
  </si>
  <si>
    <t>Deferred Tax Assets [Net]</t>
  </si>
  <si>
    <t>Long Term Loans And Advances</t>
  </si>
  <si>
    <t>Other Non-Current Assets</t>
  </si>
  <si>
    <t>TOTAL NON-CURRENT ASSETS</t>
  </si>
  <si>
    <t>CURRENT ASSETS</t>
  </si>
  <si>
    <t>Current Investments</t>
  </si>
  <si>
    <t>Inventories</t>
  </si>
  <si>
    <t>Trade Receivables</t>
  </si>
  <si>
    <t>Cash And Cash Equivalents</t>
  </si>
  <si>
    <t>Short Term Loans And Advances</t>
  </si>
  <si>
    <t>OtherCurrentAssets</t>
  </si>
  <si>
    <t>TOTAL CURRENT ASSETS</t>
  </si>
  <si>
    <t>TOTAL ASSETS</t>
  </si>
  <si>
    <t>OTHER ADDITIONAL INFORMATION</t>
  </si>
  <si>
    <t>CONTINGENT LIABILITIES, COMMITMENTS</t>
  </si>
  <si>
    <t>Contingent Liabilities</t>
  </si>
  <si>
    <t>CIF VALUE OF IMPORTS</t>
  </si>
  <si>
    <t>Raw Materials</t>
  </si>
  <si>
    <t>Stores, Spares And Loose Tools</t>
  </si>
  <si>
    <t>Trade/Other Goods</t>
  </si>
  <si>
    <t>Capital Goods</t>
  </si>
  <si>
    <t>EXPENDITURE IN FOREIGN EXCHANGE</t>
  </si>
  <si>
    <t>Expenditure In Foreign Currency</t>
  </si>
  <si>
    <t>REMITTANCES IN FOREIGN CURRENCIES FOR DIVIDENDS</t>
  </si>
  <si>
    <t>Dividend Remittance In Foreign Currency</t>
  </si>
  <si>
    <t>--</t>
  </si>
  <si>
    <t>EARNINGS IN FOREIGN EXCHANGE</t>
  </si>
  <si>
    <t>FOB Value Of Goods</t>
  </si>
  <si>
    <t>Other Earnings</t>
  </si>
  <si>
    <t>BONUS DETAILS</t>
  </si>
  <si>
    <t>Bonus Equity Share Capital</t>
  </si>
  <si>
    <t>NON-CURRENT INVESTMENTS</t>
  </si>
  <si>
    <t>Non-Current Investments Quoted Market Value</t>
  </si>
  <si>
    <t>Non-Current Investments Unquoted Book Value</t>
  </si>
  <si>
    <t>CURRENT INVESTMENTS</t>
  </si>
  <si>
    <t>Current Investments Quoted Market Value</t>
  </si>
  <si>
    <t>Current Investments Unquoted Book Value</t>
  </si>
  <si>
    <t>Mar '23</t>
  </si>
  <si>
    <t>Mar '22</t>
  </si>
  <si>
    <t>Mar '21</t>
  </si>
  <si>
    <t>Mar '20</t>
  </si>
  <si>
    <t>Mar '19</t>
  </si>
  <si>
    <t>Income</t>
  </si>
  <si>
    <t>Sales Turnover</t>
  </si>
  <si>
    <t>Excise Duty</t>
  </si>
  <si>
    <t>Net Sales</t>
  </si>
  <si>
    <t>Other Income</t>
  </si>
  <si>
    <t>Stock Adjustments</t>
  </si>
  <si>
    <t>Total Income</t>
  </si>
  <si>
    <t>Power &amp; Fuel Cost</t>
  </si>
  <si>
    <t>Employee Cost</t>
  </si>
  <si>
    <t>Selling and Admin Expenses</t>
  </si>
  <si>
    <t>Miscellaneous Expenses</t>
  </si>
  <si>
    <t>Total Expenses</t>
  </si>
  <si>
    <t>Operating Profit</t>
  </si>
  <si>
    <t>PBDIT</t>
  </si>
  <si>
    <t>Interest</t>
  </si>
  <si>
    <t>PBDT</t>
  </si>
  <si>
    <t>Depreciation</t>
  </si>
  <si>
    <t>Profit Before Tax</t>
  </si>
  <si>
    <t>PBT (Post Extra-ord Items)</t>
  </si>
  <si>
    <t>Tax</t>
  </si>
  <si>
    <t>Reported Net Profit</t>
  </si>
  <si>
    <t>Total Value Addition</t>
  </si>
  <si>
    <t>Equity Dividend</t>
  </si>
  <si>
    <t>Corporate Dividend Tax</t>
  </si>
  <si>
    <t>Per share data (annualised)</t>
  </si>
  <si>
    <t>Shares in issue (lakhs)</t>
  </si>
  <si>
    <t>Earning Per Share (Rs)</t>
  </si>
  <si>
    <t>Equity Dividend (%)</t>
  </si>
  <si>
    <t>Book Value (Rs)</t>
  </si>
  <si>
    <t>https://www.moneycontrol.com/india/stockpricequote/diversified/itc/ITC</t>
  </si>
  <si>
    <t>Column1</t>
  </si>
  <si>
    <t>Column2</t>
  </si>
  <si>
    <t>Open</t>
  </si>
  <si>
    <t>Previous Close</t>
  </si>
  <si>
    <t>Volume</t>
  </si>
  <si>
    <t>Value (Lacs)</t>
  </si>
  <si>
    <t>i VWAP</t>
  </si>
  <si>
    <t>Beta</t>
  </si>
  <si>
    <t>High</t>
  </si>
  <si>
    <t>Low</t>
  </si>
  <si>
    <t>UC Limit</t>
  </si>
  <si>
    <t>LC Limit</t>
  </si>
  <si>
    <t>52 Week High</t>
  </si>
  <si>
    <t>52 Week Low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</si>
  <si>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</si>
  <si>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</si>
  <si>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</si>
  <si>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</si>
  <si>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</si>
  <si>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</si>
  <si>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</si>
  <si>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</si>
  <si>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</si>
  <si>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</si>
  <si>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</si>
  <si>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</si>
  <si>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</si>
  <si>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Values</t>
  </si>
  <si>
    <t>Year</t>
  </si>
  <si>
    <t>Sales</t>
  </si>
  <si>
    <t>Net Profit</t>
  </si>
  <si>
    <t>Expenses</t>
  </si>
  <si>
    <t>r</t>
  </si>
  <si>
    <t>High positive correlation</t>
  </si>
  <si>
    <t>Prediction</t>
  </si>
  <si>
    <t>SUMMARY OUTPUT</t>
  </si>
  <si>
    <t>Regression Statistics</t>
  </si>
  <si>
    <t>Multiple R</t>
  </si>
  <si>
    <t>R Square</t>
  </si>
  <si>
    <t>Adjusted R Square</t>
  </si>
  <si>
    <t>Observations</t>
  </si>
  <si>
    <t>Timeline</t>
  </si>
  <si>
    <t>Forecast</t>
  </si>
  <si>
    <t>Lower Confidence Bound</t>
  </si>
  <si>
    <t>Upper Confidence Bound</t>
  </si>
  <si>
    <t>Forecast(Net Profit)</t>
  </si>
  <si>
    <t>Lower Confidence Bound(Net Profit)</t>
  </si>
  <si>
    <t>Upper Confidence Bound(Net Profit)</t>
  </si>
  <si>
    <t>Basic EPS (Rs.)</t>
  </si>
  <si>
    <t xml:space="preserve"> </t>
  </si>
  <si>
    <t>Net Profit Margin (%)</t>
  </si>
  <si>
    <t>Return on Networth / Equity (%)</t>
  </si>
  <si>
    <t>Return on Capital Employed (%)</t>
  </si>
  <si>
    <t>Current Ratio (X)</t>
  </si>
  <si>
    <t>Company</t>
  </si>
  <si>
    <t>ITC</t>
  </si>
  <si>
    <t>HUL</t>
  </si>
  <si>
    <t>Key financial Ratios</t>
  </si>
  <si>
    <t>EXPLORATORY AND PREDICTIVE ANALYSIS USING REGRESSION</t>
  </si>
  <si>
    <t>EXPLORATORY ANALYSIS USING CORRELATION</t>
  </si>
  <si>
    <t>BALANCE SHEET</t>
  </si>
  <si>
    <t>STATEMENT OF PROFIT AND LOSS</t>
  </si>
  <si>
    <t>Total Expenditure</t>
  </si>
  <si>
    <t>EBIT</t>
  </si>
  <si>
    <t>INCOME STATEMENT</t>
  </si>
  <si>
    <t>ROI</t>
  </si>
  <si>
    <t>Net Profit Margin Ratio(NPM)</t>
  </si>
  <si>
    <t>ROA</t>
  </si>
  <si>
    <t>Quick Ratio</t>
  </si>
  <si>
    <t>Current Ratio</t>
  </si>
  <si>
    <t>EPS</t>
  </si>
  <si>
    <t>Total</t>
  </si>
  <si>
    <t>Total OE</t>
  </si>
  <si>
    <t>NPM</t>
  </si>
  <si>
    <t>INCOME</t>
  </si>
  <si>
    <t>EXPENDITURE</t>
  </si>
  <si>
    <t>COMPETITOR ANALYSIS</t>
  </si>
  <si>
    <t>Working Capital</t>
  </si>
  <si>
    <t>Total Current Liabilities</t>
  </si>
  <si>
    <t>Total Current Assets</t>
  </si>
  <si>
    <t>WORKING CAPITAL</t>
  </si>
  <si>
    <t>Current Assets vs Current Liabilities</t>
  </si>
  <si>
    <t>Percentage Change in Working Capital</t>
  </si>
  <si>
    <t xml:space="preserve">% Change </t>
  </si>
  <si>
    <t>Mkt Cap (Rs. Cr.)</t>
  </si>
  <si>
    <t>Face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</si>
</sst>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333333"/>
      <name val="Arial"/>
      <family val="2"/>
    </font>
    <font>
      <b/>
      <sz val="10"/>
      <color rgb="FF333333"/>
      <name val="Arial"/>
      <family val="2"/>
    </font>
    <font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rgb="FF333333"/>
      <name val="Arial"/>
      <family val="2"/>
    </font>
    <font>
      <sz val="9"/>
      <color rgb="FF333333"/>
      <name val="Arial"/>
      <family val="2"/>
    </font>
    <font>
      <b/>
      <sz val="11"/>
      <name val="Calibri"/>
      <family val="2"/>
      <scheme val="minor"/>
    </font>
    <font>
      <b/>
      <sz val="9"/>
      <name val="Arial"/>
      <family val="2"/>
    </font>
    <font>
      <sz val="11"/>
      <color theme="0"/>
      <name val="Calibri"/>
      <family val="2"/>
      <scheme val="minor"/>
    </font>
    <font>
      <sz val="7"/>
      <color theme="0"/>
      <name val="Arial"/>
      <family val="2"/>
    </font>
    <font>
      <b/>
      <sz val="16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EEEEEE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8" fillId="0" borderId="0" applyNumberFormat="0" applyFill="0" applyBorder="0" applyAlignment="0" applyProtection="0"/>
    <xf numFmtId="4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140">
    <xf numFmtId="0" fontId="0" fillId="0" borderId="0" xfId="0"/>
    <xf numFmtId="0" fontId="3" fillId="0" borderId="1" xfId="0" applyFont="1" applyBorder="1" applyAlignment="1">
      <alignment horizontal="right" vertical="top" wrapText="1"/>
    </xf>
    <xf numFmtId="4" fontId="3" fillId="0" borderId="1" xfId="0" applyNumberFormat="1" applyFont="1" applyBorder="1" applyAlignment="1">
      <alignment horizontal="right" vertical="top" wrapText="1"/>
    </xf>
    <xf numFmtId="0" fontId="4" fillId="0" borderId="1" xfId="0" applyFont="1" applyBorder="1" applyAlignment="1">
      <alignment horizontal="right" vertical="top" wrapText="1"/>
    </xf>
    <xf numFmtId="0" fontId="1" fillId="0" borderId="0" xfId="0" applyFont="1"/>
    <xf numFmtId="0" fontId="2" fillId="0" borderId="0" xfId="0" applyFont="1"/>
    <xf numFmtId="0" fontId="4" fillId="0" borderId="0" xfId="0" applyFont="1" applyAlignment="1">
      <alignment horizontal="right" vertical="top" wrapText="1"/>
    </xf>
    <xf numFmtId="0" fontId="3" fillId="0" borderId="0" xfId="0" applyFont="1" applyAlignment="1">
      <alignment horizontal="right" vertical="top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right" vertical="center" wrapText="1"/>
    </xf>
    <xf numFmtId="0" fontId="6" fillId="0" borderId="1" xfId="0" applyFont="1" applyBorder="1" applyAlignment="1">
      <alignment vertical="center" wrapText="1"/>
    </xf>
    <xf numFmtId="0" fontId="6" fillId="0" borderId="1" xfId="0" applyFont="1" applyBorder="1" applyAlignment="1">
      <alignment horizontal="right" vertical="center" wrapText="1"/>
    </xf>
    <xf numFmtId="0" fontId="7" fillId="0" borderId="1" xfId="0" applyFont="1" applyBorder="1" applyAlignment="1">
      <alignment horizontal="right" vertical="center" wrapText="1"/>
    </xf>
    <xf numFmtId="4" fontId="7" fillId="0" borderId="1" xfId="0" applyNumberFormat="1" applyFont="1" applyBorder="1" applyAlignment="1">
      <alignment horizontal="right" vertical="center" wrapText="1"/>
    </xf>
    <xf numFmtId="4" fontId="6" fillId="0" borderId="1" xfId="0" applyNumberFormat="1" applyFont="1" applyBorder="1" applyAlignment="1">
      <alignment horizontal="right" vertical="center" wrapText="1"/>
    </xf>
    <xf numFmtId="0" fontId="8" fillId="0" borderId="0" xfId="1"/>
    <xf numFmtId="0" fontId="0" fillId="0" borderId="2" xfId="0" applyBorder="1"/>
    <xf numFmtId="0" fontId="11" fillId="0" borderId="3" xfId="0" applyFont="1" applyBorder="1" applyAlignment="1">
      <alignment horizontal="centerContinuous"/>
    </xf>
    <xf numFmtId="0" fontId="6" fillId="0" borderId="1" xfId="0" applyFont="1" applyBorder="1" applyAlignment="1">
      <alignment horizontal="center" vertical="center" wrapText="1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1" xfId="0" applyBorder="1"/>
    <xf numFmtId="0" fontId="0" fillId="0" borderId="1" xfId="0" applyBorder="1"/>
    <xf numFmtId="0" fontId="1" fillId="0" borderId="1" xfId="0" applyFont="1" applyBorder="1"/>
    <xf numFmtId="4" fontId="0" fillId="0" borderId="0" xfId="0" applyNumberFormat="1"/>
    <xf numFmtId="0" fontId="1" fillId="0" borderId="1" xfId="0" applyFont="1" applyBorder="1" applyAlignment="1">
      <alignment horizontal="center"/>
    </xf>
    <xf numFmtId="44" fontId="0" fillId="0" borderId="1" xfId="2" applyFont="1" applyBorder="1"/>
    <xf numFmtId="44" fontId="7" fillId="0" borderId="1" xfId="2" applyFont="1" applyBorder="1" applyAlignment="1">
      <alignment horizontal="right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4" fontId="0" fillId="0" borderId="0" xfId="0" applyNumberFormat="1"/>
    <xf numFmtId="17" fontId="0" fillId="0" borderId="0" xfId="0" applyNumberFormat="1"/>
    <xf numFmtId="17" fontId="1" fillId="0" borderId="1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Continuous"/>
    </xf>
    <xf numFmtId="0" fontId="0" fillId="0" borderId="0" xfId="0" applyAlignment="1">
      <alignment horizontal="center" vertical="center" wrapText="1"/>
    </xf>
    <xf numFmtId="0" fontId="17" fillId="0" borderId="1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0" fillId="0" borderId="15" xfId="0" applyBorder="1"/>
    <xf numFmtId="0" fontId="19" fillId="0" borderId="4" xfId="3" applyFont="1" applyFill="1" applyBorder="1" applyAlignment="1" applyProtection="1">
      <alignment horizontal="left" vertical="center"/>
      <protection hidden="1"/>
    </xf>
    <xf numFmtId="10" fontId="0" fillId="0" borderId="1" xfId="0" applyNumberFormat="1" applyBorder="1"/>
    <xf numFmtId="10" fontId="0" fillId="0" borderId="5" xfId="0" applyNumberFormat="1" applyBorder="1"/>
    <xf numFmtId="0" fontId="19" fillId="0" borderId="1" xfId="3" applyFont="1" applyFill="1" applyBorder="1" applyAlignment="1" applyProtection="1">
      <alignment horizontal="left" vertical="center"/>
      <protection hidden="1"/>
    </xf>
    <xf numFmtId="0" fontId="19" fillId="0" borderId="1" xfId="3" applyFont="1" applyFill="1" applyBorder="1" applyAlignment="1" applyProtection="1">
      <alignment vertical="center"/>
      <protection hidden="1"/>
    </xf>
    <xf numFmtId="0" fontId="0" fillId="0" borderId="0" xfId="0" applyAlignment="1">
      <alignment horizontal="center" vertical="center"/>
    </xf>
    <xf numFmtId="10" fontId="0" fillId="0" borderId="1" xfId="4" applyNumberFormat="1" applyFont="1" applyBorder="1"/>
    <xf numFmtId="4" fontId="0" fillId="0" borderId="1" xfId="0" applyNumberFormat="1" applyBorder="1"/>
    <xf numFmtId="0" fontId="19" fillId="0" borderId="6" xfId="3" applyFont="1" applyFill="1" applyBorder="1" applyAlignment="1" applyProtection="1">
      <alignment vertical="center"/>
      <protection hidden="1"/>
    </xf>
    <xf numFmtId="0" fontId="13" fillId="0" borderId="19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20" fillId="0" borderId="1" xfId="0" applyFont="1" applyBorder="1" applyAlignment="1">
      <alignment horizontal="left" vertical="center" wrapText="1"/>
    </xf>
    <xf numFmtId="0" fontId="0" fillId="0" borderId="0" xfId="0" applyAlignment="1">
      <alignment horizontal="center"/>
    </xf>
    <xf numFmtId="17" fontId="4" fillId="0" borderId="12" xfId="0" applyNumberFormat="1" applyFont="1" applyBorder="1" applyAlignment="1">
      <alignment horizontal="right" vertical="top" wrapText="1"/>
    </xf>
    <xf numFmtId="0" fontId="4" fillId="0" borderId="13" xfId="0" applyFont="1" applyBorder="1" applyAlignment="1">
      <alignment horizontal="left" vertical="top" wrapText="1"/>
    </xf>
    <xf numFmtId="17" fontId="4" fillId="0" borderId="14" xfId="0" applyNumberFormat="1" applyFont="1" applyBorder="1" applyAlignment="1">
      <alignment horizontal="righ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right" vertical="top" wrapText="1"/>
    </xf>
    <xf numFmtId="0" fontId="3" fillId="0" borderId="4" xfId="0" applyFont="1" applyBorder="1" applyAlignment="1">
      <alignment horizontal="left" vertical="top" wrapText="1"/>
    </xf>
    <xf numFmtId="0" fontId="3" fillId="0" borderId="5" xfId="0" applyFont="1" applyBorder="1" applyAlignment="1">
      <alignment horizontal="right" vertical="top" wrapText="1"/>
    </xf>
    <xf numFmtId="4" fontId="3" fillId="0" borderId="5" xfId="0" applyNumberFormat="1" applyFont="1" applyBorder="1" applyAlignment="1">
      <alignment horizontal="right" vertical="top" wrapText="1"/>
    </xf>
    <xf numFmtId="0" fontId="3" fillId="0" borderId="6" xfId="0" applyFont="1" applyBorder="1" applyAlignment="1">
      <alignment horizontal="left" vertical="top" wrapText="1"/>
    </xf>
    <xf numFmtId="4" fontId="3" fillId="0" borderId="15" xfId="0" applyNumberFormat="1" applyFont="1" applyBorder="1" applyAlignment="1">
      <alignment horizontal="right" vertical="top" wrapText="1"/>
    </xf>
    <xf numFmtId="4" fontId="3" fillId="0" borderId="7" xfId="0" applyNumberFormat="1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center" wrapText="1"/>
    </xf>
    <xf numFmtId="0" fontId="6" fillId="0" borderId="13" xfId="0" applyFont="1" applyBorder="1" applyAlignment="1">
      <alignment vertical="center" wrapText="1"/>
    </xf>
    <xf numFmtId="0" fontId="6" fillId="0" borderId="14" xfId="0" applyFont="1" applyBorder="1" applyAlignment="1">
      <alignment horizontal="right" vertical="center" wrapText="1"/>
    </xf>
    <xf numFmtId="0" fontId="7" fillId="0" borderId="4" xfId="0" applyFont="1" applyBorder="1" applyAlignment="1">
      <alignment vertical="center" wrapText="1"/>
    </xf>
    <xf numFmtId="0" fontId="7" fillId="0" borderId="5" xfId="0" applyFont="1" applyBorder="1" applyAlignment="1">
      <alignment horizontal="right" vertical="center" wrapText="1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horizontal="right" vertical="center" wrapText="1"/>
    </xf>
    <xf numFmtId="4" fontId="7" fillId="0" borderId="5" xfId="0" applyNumberFormat="1" applyFont="1" applyBorder="1" applyAlignment="1">
      <alignment horizontal="right" vertical="center" wrapText="1"/>
    </xf>
    <xf numFmtId="4" fontId="6" fillId="0" borderId="5" xfId="0" applyNumberFormat="1" applyFont="1" applyBorder="1" applyAlignment="1">
      <alignment horizontal="right" vertical="center" wrapText="1"/>
    </xf>
    <xf numFmtId="0" fontId="7" fillId="0" borderId="6" xfId="0" applyFont="1" applyBorder="1" applyAlignment="1">
      <alignment vertical="center" wrapText="1"/>
    </xf>
    <xf numFmtId="0" fontId="7" fillId="0" borderId="15" xfId="0" applyFont="1" applyBorder="1" applyAlignment="1">
      <alignment horizontal="right" vertical="center" wrapText="1"/>
    </xf>
    <xf numFmtId="0" fontId="7" fillId="0" borderId="7" xfId="0" applyFont="1" applyBorder="1" applyAlignment="1">
      <alignment horizontal="right" vertical="center" wrapText="1"/>
    </xf>
    <xf numFmtId="0" fontId="0" fillId="0" borderId="23" xfId="0" applyBorder="1"/>
    <xf numFmtId="0" fontId="1" fillId="0" borderId="4" xfId="0" applyFont="1" applyBorder="1"/>
    <xf numFmtId="17" fontId="1" fillId="0" borderId="5" xfId="0" applyNumberFormat="1" applyFont="1" applyBorder="1" applyAlignment="1">
      <alignment horizontal="center" vertical="center"/>
    </xf>
    <xf numFmtId="4" fontId="4" fillId="0" borderId="1" xfId="0" applyNumberFormat="1" applyFont="1" applyBorder="1" applyAlignment="1">
      <alignment horizontal="right" vertical="top" wrapText="1"/>
    </xf>
    <xf numFmtId="4" fontId="4" fillId="0" borderId="5" xfId="0" applyNumberFormat="1" applyFont="1" applyBorder="1" applyAlignment="1">
      <alignment horizontal="right" vertical="top" wrapText="1"/>
    </xf>
    <xf numFmtId="0" fontId="1" fillId="0" borderId="23" xfId="0" applyFont="1" applyBorder="1"/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4" fontId="22" fillId="0" borderId="0" xfId="0" applyNumberFormat="1" applyFont="1"/>
    <xf numFmtId="4" fontId="21" fillId="0" borderId="0" xfId="0" applyNumberFormat="1" applyFont="1"/>
    <xf numFmtId="4" fontId="22" fillId="0" borderId="29" xfId="0" applyNumberFormat="1" applyFont="1" applyBorder="1" applyAlignment="1">
      <alignment horizontal="right" vertical="center" wrapText="1"/>
    </xf>
    <xf numFmtId="0" fontId="16" fillId="0" borderId="30" xfId="0" applyFont="1" applyBorder="1"/>
    <xf numFmtId="10" fontId="0" fillId="0" borderId="15" xfId="4" applyNumberFormat="1" applyFont="1" applyBorder="1"/>
    <xf numFmtId="10" fontId="0" fillId="0" borderId="7" xfId="4" applyNumberFormat="1" applyFont="1" applyBorder="1"/>
    <xf numFmtId="0" fontId="0" fillId="2" borderId="0" xfId="0" applyFill="1" applyAlignment="1">
      <alignment vertical="center"/>
    </xf>
    <xf numFmtId="0" fontId="0" fillId="2" borderId="0" xfId="0" applyFill="1"/>
    <xf numFmtId="0" fontId="19" fillId="2" borderId="0" xfId="3" applyFont="1" applyFill="1" applyBorder="1" applyAlignment="1" applyProtection="1">
      <alignment horizontal="left" vertical="center"/>
      <protection hidden="1"/>
    </xf>
    <xf numFmtId="10" fontId="23" fillId="2" borderId="0" xfId="0" applyNumberFormat="1" applyFont="1" applyFill="1" applyAlignment="1">
      <alignment vertical="center"/>
    </xf>
    <xf numFmtId="0" fontId="4" fillId="0" borderId="1" xfId="0" applyFont="1" applyBorder="1" applyAlignment="1">
      <alignment horizontal="left" vertical="top" wrapText="1"/>
    </xf>
    <xf numFmtId="44" fontId="18" fillId="0" borderId="12" xfId="2" applyFont="1" applyBorder="1" applyAlignment="1">
      <alignment horizontal="right" vertical="center" wrapText="1"/>
    </xf>
    <xf numFmtId="44" fontId="18" fillId="0" borderId="14" xfId="2" applyFont="1" applyBorder="1" applyAlignment="1">
      <alignment horizontal="right" vertical="center" wrapText="1"/>
    </xf>
    <xf numFmtId="44" fontId="18" fillId="0" borderId="1" xfId="2" applyFont="1" applyBorder="1" applyAlignment="1">
      <alignment horizontal="right" vertical="center" wrapText="1"/>
    </xf>
    <xf numFmtId="44" fontId="18" fillId="0" borderId="5" xfId="2" applyFont="1" applyBorder="1" applyAlignment="1">
      <alignment horizontal="right" vertical="center" wrapText="1"/>
    </xf>
    <xf numFmtId="44" fontId="3" fillId="0" borderId="1" xfId="2" applyFont="1" applyBorder="1" applyAlignment="1">
      <alignment horizontal="right" vertical="top" wrapText="1"/>
    </xf>
    <xf numFmtId="44" fontId="3" fillId="0" borderId="5" xfId="2" applyFont="1" applyBorder="1" applyAlignment="1">
      <alignment horizontal="right" vertical="top" wrapText="1"/>
    </xf>
    <xf numFmtId="44" fontId="0" fillId="0" borderId="22" xfId="2" applyFont="1" applyBorder="1"/>
    <xf numFmtId="44" fontId="0" fillId="0" borderId="31" xfId="2" applyFont="1" applyBorder="1"/>
    <xf numFmtId="44" fontId="0" fillId="0" borderId="1" xfId="2" applyFont="1" applyBorder="1" applyAlignment="1">
      <alignment horizontal="center"/>
    </xf>
    <xf numFmtId="44" fontId="1" fillId="0" borderId="1" xfId="2" applyFont="1" applyBorder="1"/>
    <xf numFmtId="4" fontId="1" fillId="0" borderId="1" xfId="0" applyNumberFormat="1" applyFont="1" applyBorder="1"/>
    <xf numFmtId="10" fontId="0" fillId="0" borderId="0" xfId="4" applyNumberFormat="1" applyFont="1"/>
    <xf numFmtId="0" fontId="13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6" fillId="0" borderId="4" xfId="0" applyFont="1" applyBorder="1" applyAlignment="1">
      <alignment vertical="center" wrapText="1"/>
    </xf>
    <xf numFmtId="0" fontId="6" fillId="0" borderId="1" xfId="0" applyFont="1" applyBorder="1" applyAlignment="1">
      <alignment vertical="center" wrapText="1"/>
    </xf>
    <xf numFmtId="0" fontId="12" fillId="0" borderId="8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24" fillId="3" borderId="0" xfId="0" applyFont="1" applyFill="1" applyAlignment="1">
      <alignment horizontal="center" vertical="center"/>
    </xf>
    <xf numFmtId="10" fontId="25" fillId="2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/>
    </xf>
    <xf numFmtId="0" fontId="13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/>
    </xf>
    <xf numFmtId="0" fontId="13" fillId="0" borderId="27" xfId="0" applyFon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0" fillId="0" borderId="1" xfId="0" applyNumberFormat="1" applyBorder="1"/>
    <xf numFmtId="0" fontId="0" fillId="0" borderId="12" xfId="0" applyNumberFormat="1" applyBorder="1"/>
    <xf numFmtId="0" fontId="0" fillId="0" borderId="22" xfId="0" applyNumberFormat="1" applyBorder="1"/>
    <xf numFmtId="0" fontId="0" fillId="0" borderId="12" xfId="0" applyBorder="1"/>
    <xf numFmtId="0" fontId="0" fillId="0" borderId="22" xfId="0" applyBorder="1"/>
  </cellXfs>
  <cellStyles count="5">
    <cellStyle name="Currency" xfId="2" builtinId="4"/>
    <cellStyle name="Explanatory Text" xfId="3" builtinId="53"/>
    <cellStyle name="Hyperlink" xfId="1" builtinId="8"/>
    <cellStyle name="Normal" xfId="0" builtinId="0"/>
    <cellStyle name="Percent" xfId="4" builtinId="5"/>
  </cellStyles>
  <dxfs count="11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alignment horizontal="center" vertical="center" textRotation="0" wrapText="1" indent="0" justifyLastLine="0" shrinkToFit="0" readingOrder="0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  <dxf>
      <numFmt numFmtId="34" formatCode="_ &quot;₹&quot;\ * #,##0.00_ ;_ &quot;₹&quot;\ * \-#,##0.00_ ;_ &quot;₹&quot;\ * &quot;-&quot;??_ ;_ @_ "/>
    </dxf>
  </dxfs>
  <tableStyles count="0" defaultTableStyle="TableStyleMedium2" defaultPivotStyle="PivotStyleLight16"/>
  <colors>
    <mruColors>
      <color rgb="FFFBFB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Regression!$D$5</c:f>
              <c:strCache>
                <c:ptCount val="1"/>
                <c:pt idx="0">
                  <c:v>Net Profit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8.3606805094294384E-3"/>
                  <c:y val="0.244021473889702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Regression!$C$6:$C$10</c:f>
              <c:numCache>
                <c:formatCode>_("₹"* #,##0.00_);_("₹"* \(#,##0.00\);_("₹"* "-"??_);_(@_)</c:formatCode>
                <c:ptCount val="5"/>
                <c:pt idx="0">
                  <c:v>44995.65</c:v>
                </c:pt>
                <c:pt idx="1">
                  <c:v>45619.7</c:v>
                </c:pt>
                <c:pt idx="2">
                  <c:v>45485.13</c:v>
                </c:pt>
                <c:pt idx="3">
                  <c:v>56341.27</c:v>
                </c:pt>
                <c:pt idx="4">
                  <c:v>66043.27</c:v>
                </c:pt>
              </c:numCache>
            </c:numRef>
          </c:xVal>
          <c:yVal>
            <c:numRef>
              <c:f>Regression!$D$6:$D$10</c:f>
              <c:numCache>
                <c:formatCode>_("₹"* #,##0.00_);_("₹"* \(#,##0.00\);_("₹"* "-"??_);_(@_)</c:formatCode>
                <c:ptCount val="5"/>
                <c:pt idx="0">
                  <c:v>12464.32</c:v>
                </c:pt>
                <c:pt idx="1">
                  <c:v>15136.05</c:v>
                </c:pt>
                <c:pt idx="2">
                  <c:v>13031.68</c:v>
                </c:pt>
                <c:pt idx="3">
                  <c:v>15057.83</c:v>
                </c:pt>
                <c:pt idx="4">
                  <c:v>18753.310000000001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0B-456E-8010-C7A2ED7BD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325215"/>
        <c:axId val="287501855"/>
      </c:scatterChart>
      <c:valAx>
        <c:axId val="127325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₹&quot;* #,##0.00_);_(&quot;₹&quot;* \(#,##0.00\);_(&quot;₹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501855"/>
        <c:crosses val="autoZero"/>
        <c:crossBetween val="midCat"/>
      </c:valAx>
      <c:valAx>
        <c:axId val="28750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₹&quot;* #,##0.00_);_(&quot;₹&quot;* \(#,##0.00\);_(&quot;₹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252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Regression!$D$23</c:f>
              <c:strCache>
                <c:ptCount val="1"/>
                <c:pt idx="0">
                  <c:v>Expenses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6.1776004881820418E-2"/>
                  <c:y val="0.1802821522309711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Regression!$C$24:$C$28</c:f>
              <c:numCache>
                <c:formatCode>_("₹"* #,##0.00_);_("₹"* \(#,##0.00\);_("₹"* "-"??_);_(@_)</c:formatCode>
                <c:ptCount val="5"/>
                <c:pt idx="0">
                  <c:v>44995.65</c:v>
                </c:pt>
                <c:pt idx="1">
                  <c:v>45619.7</c:v>
                </c:pt>
                <c:pt idx="2">
                  <c:v>45485.13</c:v>
                </c:pt>
                <c:pt idx="3">
                  <c:v>56341.27</c:v>
                </c:pt>
                <c:pt idx="4">
                  <c:v>66043.27</c:v>
                </c:pt>
              </c:numCache>
            </c:numRef>
          </c:xVal>
          <c:yVal>
            <c:numRef>
              <c:f>Regression!$D$24:$D$28</c:f>
              <c:numCache>
                <c:formatCode>_("₹"* #,##0.00_);_("₹"* \(#,##0.00\);_("₹"* "-"??_);_(@_)</c:formatCode>
                <c:ptCount val="5"/>
                <c:pt idx="0">
                  <c:v>27870.28</c:v>
                </c:pt>
                <c:pt idx="1">
                  <c:v>27891.79</c:v>
                </c:pt>
                <c:pt idx="2">
                  <c:v>30489.49</c:v>
                </c:pt>
                <c:pt idx="3">
                  <c:v>37974.07</c:v>
                </c:pt>
                <c:pt idx="4">
                  <c:v>42138.3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6F-4FE2-B685-7D17CC695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220608"/>
        <c:axId val="287957951"/>
      </c:scatterChart>
      <c:valAx>
        <c:axId val="59022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₹&quot;* #,##0.00_);_(&quot;₹&quot;* \(#,##0.00\);_(&quot;₹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57951"/>
        <c:crosses val="autoZero"/>
        <c:crossBetween val="midCat"/>
      </c:valAx>
      <c:valAx>
        <c:axId val="28795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₹&quot;* #,##0.00_);_(&quot;₹&quot;* \(#,##0.00\);_(&quot;₹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220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'Sales Forecast'!$B$1</c:f>
              <c:strCache>
                <c:ptCount val="1"/>
                <c:pt idx="0">
                  <c:v>Values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'Sales Forecast'!$B$2:$B$11</c:f>
              <c:numCache>
                <c:formatCode>_("₹"* #,##0.00_);_("₹"* \(#,##0.00\);_("₹"* "-"??_);_(@_)</c:formatCode>
                <c:ptCount val="10"/>
                <c:pt idx="0">
                  <c:v>44995.65</c:v>
                </c:pt>
                <c:pt idx="1">
                  <c:v>45619.7</c:v>
                </c:pt>
                <c:pt idx="2">
                  <c:v>45485.13</c:v>
                </c:pt>
                <c:pt idx="3">
                  <c:v>56341.27</c:v>
                </c:pt>
                <c:pt idx="4">
                  <c:v>66043.27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19-4CEC-AA14-E4D32621B3B4}"/>
            </c:ext>
          </c:extLst>
        </c:ser>
        <c:ser>
          <c:idx val="1"/>
          <c:order val="1"/>
          <c:tx>
            <c:strRef>
              <c:f>'Sales Forecast'!$C$1</c:f>
              <c:strCache>
                <c:ptCount val="1"/>
                <c:pt idx="0">
                  <c:v>Forecast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'Sales Forecast'!$A$2:$A$11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'Sales Forecast'!$C$2:$C$11</c:f>
              <c:numCache>
                <c:formatCode>General</c:formatCode>
                <c:ptCount val="10"/>
                <c:pt idx="4" formatCode="_(&quot;₹&quot;* #,##0.00_);_(&quot;₹&quot;* \(#,##0.00\);_(&quot;₹&quot;* &quot;-&quot;??_);_(@_)">
                  <c:v>66043.27</c:v>
                </c:pt>
                <c:pt idx="5" formatCode="_(&quot;₹&quot;* #,##0.00_);_(&quot;₹&quot;* \(#,##0.00\);_(&quot;₹&quot;* &quot;-&quot;??_);_(@_)">
                  <c:v>69363.290210537089</c:v>
                </c:pt>
                <c:pt idx="6" formatCode="_(&quot;₹&quot;* #,##0.00_);_(&quot;₹&quot;* \(#,##0.00\);_(&quot;₹&quot;* &quot;-&quot;??_);_(@_)">
                  <c:v>74994.352627780303</c:v>
                </c:pt>
                <c:pt idx="7" formatCode="_(&quot;₹&quot;* #,##0.00_);_(&quot;₹&quot;* \(#,##0.00\);_(&quot;₹&quot;* &quot;-&quot;??_);_(@_)">
                  <c:v>80625.415045023517</c:v>
                </c:pt>
                <c:pt idx="8" formatCode="_(&quot;₹&quot;* #,##0.00_);_(&quot;₹&quot;* \(#,##0.00\);_(&quot;₹&quot;* &quot;-&quot;??_);_(@_)">
                  <c:v>86256.477462266732</c:v>
                </c:pt>
                <c:pt idx="9" formatCode="_(&quot;₹&quot;* #,##0.00_);_(&quot;₹&quot;* \(#,##0.00\);_(&quot;₹&quot;* &quot;-&quot;??_);_(@_)">
                  <c:v>91887.539879509946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19-4CEC-AA14-E4D32621B3B4}"/>
            </c:ext>
          </c:extLst>
        </c:ser>
        <c:ser>
          <c:idx val="2"/>
          <c:order val="2"/>
          <c:tx>
            <c:strRef>
              <c:f>'Sales Forecast'!$D$1</c:f>
              <c:strCache>
                <c:ptCount val="1"/>
                <c:pt idx="0">
                  <c:v>Lower Confidence Bound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'Sales Forecast'!$D$2:$D$11</c:f>
              <c:numCache>
                <c:formatCode>General</c:formatCode>
                <c:ptCount val="10"/>
                <c:pt idx="4" formatCode="_(&quot;₹&quot;* #,##0.00_);_(&quot;₹&quot;* \(#,##0.00\);_(&quot;₹&quot;* &quot;-&quot;??_);_(@_)">
                  <c:v>66043.27</c:v>
                </c:pt>
                <c:pt idx="5" formatCode="_(&quot;₹&quot;* #,##0.00_);_(&quot;₹&quot;* \(#,##0.00\);_(&quot;₹&quot;* &quot;-&quot;??_);_(@_)">
                  <c:v>59915.199147667212</c:v>
                </c:pt>
                <c:pt idx="6" formatCode="_(&quot;₹&quot;* #,##0.00_);_(&quot;₹&quot;* \(#,##0.00\);_(&quot;₹&quot;* &quot;-&quot;??_);_(@_)">
                  <c:v>64426.836997013103</c:v>
                </c:pt>
                <c:pt idx="7" formatCode="_(&quot;₹&quot;* #,##0.00_);_(&quot;₹&quot;* \(#,##0.00\);_(&quot;₹&quot;* &quot;-&quot;??_);_(@_)">
                  <c:v>69042.328983669096</c:v>
                </c:pt>
                <c:pt idx="8" formatCode="_(&quot;₹&quot;* #,##0.00_);_(&quot;₹&quot;* \(#,##0.00\);_(&quot;₹&quot;* &quot;-&quot;??_);_(@_)">
                  <c:v>73736.369972319502</c:v>
                </c:pt>
                <c:pt idx="9" formatCode="_(&quot;₹&quot;* #,##0.00_);_(&quot;₹&quot;* \(#,##0.00\);_(&quot;₹&quot;* &quot;-&quot;??_);_(@_)">
                  <c:v>78492.459002388379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19-4CEC-AA14-E4D32621B3B4}"/>
            </c:ext>
          </c:extLst>
        </c:ser>
        <c:ser>
          <c:idx val="3"/>
          <c:order val="3"/>
          <c:tx>
            <c:strRef>
              <c:f>'Sales Forecast'!$E$1</c:f>
              <c:strCache>
                <c:ptCount val="1"/>
                <c:pt idx="0">
                  <c:v>Upper Confidence Bound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'Sales Forecast'!$A$2:$A$11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'Sales Forecast'!$E$2:$E$11</c:f>
              <c:numCache>
                <c:formatCode>General</c:formatCode>
                <c:ptCount val="10"/>
                <c:pt idx="4" formatCode="_(&quot;₹&quot;* #,##0.00_);_(&quot;₹&quot;* \(#,##0.00\);_(&quot;₹&quot;* &quot;-&quot;??_);_(@_)">
                  <c:v>66043.27</c:v>
                </c:pt>
                <c:pt idx="5" formatCode="_(&quot;₹&quot;* #,##0.00_);_(&quot;₹&quot;* \(#,##0.00\);_(&quot;₹&quot;* &quot;-&quot;??_);_(@_)">
                  <c:v>78811.381273406965</c:v>
                </c:pt>
                <c:pt idx="6" formatCode="_(&quot;₹&quot;* #,##0.00_);_(&quot;₹&quot;* \(#,##0.00\);_(&quot;₹&quot;* &quot;-&quot;??_);_(@_)">
                  <c:v>85561.868258547504</c:v>
                </c:pt>
                <c:pt idx="7" formatCode="_(&quot;₹&quot;* #,##0.00_);_(&quot;₹&quot;* \(#,##0.00\);_(&quot;₹&quot;* &quot;-&quot;??_);_(@_)">
                  <c:v>92208.501106377938</c:v>
                </c:pt>
                <c:pt idx="8" formatCode="_(&quot;₹&quot;* #,##0.00_);_(&quot;₹&quot;* \(#,##0.00\);_(&quot;₹&quot;* &quot;-&quot;??_);_(@_)">
                  <c:v>98776.584952213962</c:v>
                </c:pt>
                <c:pt idx="9" formatCode="_(&quot;₹&quot;* #,##0.00_);_(&quot;₹&quot;* \(#,##0.00\);_(&quot;₹&quot;* &quot;-&quot;??_);_(@_)">
                  <c:v>105282.62075663151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19-4CEC-AA14-E4D32621B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350655"/>
        <c:axId val="484983952"/>
      </c:lineChart>
      <c:catAx>
        <c:axId val="127350655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983952"/>
        <c:crosses val="autoZero"/>
        <c:auto val="1"/>
        <c:lblAlgn val="ctr"/>
        <c:lblOffset val="100"/>
        <c:noMultiLvlLbl val="0"/>
      </c:catAx>
      <c:valAx>
        <c:axId val="4849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₹&quot;* #,##0.00_);_(&quot;₹&quot;* \(#,##0.00\);_(&quot;₹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350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'Profit Forecast'!$B$1</c:f>
              <c:strCache>
                <c:ptCount val="1"/>
                <c:pt idx="0">
                  <c:v>Net Profit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'Profit Forecast'!$B$2:$B$11</c:f>
              <c:numCache>
                <c:formatCode>_("₹"* #,##0.00_);_("₹"* \(#,##0.00\);_("₹"* "-"??_);_(@_)</c:formatCode>
                <c:ptCount val="10"/>
                <c:pt idx="0">
                  <c:v>12464.32</c:v>
                </c:pt>
                <c:pt idx="1">
                  <c:v>15136.05</c:v>
                </c:pt>
                <c:pt idx="2">
                  <c:v>13031.68</c:v>
                </c:pt>
                <c:pt idx="3">
                  <c:v>15057.83</c:v>
                </c:pt>
                <c:pt idx="4">
                  <c:v>18753.310000000001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54-499C-A73F-C7B65982A41F}"/>
            </c:ext>
          </c:extLst>
        </c:ser>
        <c:ser>
          <c:idx val="1"/>
          <c:order val="1"/>
          <c:tx>
            <c:strRef>
              <c:f>'Profit Forecast'!$C$1</c:f>
              <c:strCache>
                <c:ptCount val="1"/>
                <c:pt idx="0">
                  <c:v>Forecast(Net Profit)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'Profit Forecast'!$A$2:$A$11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'Profit Forecast'!$C$2:$C$11</c:f>
              <c:numCache>
                <c:formatCode>General</c:formatCode>
                <c:ptCount val="10"/>
                <c:pt idx="4" formatCode="_(&quot;₹&quot;* #,##0.00_);_(&quot;₹&quot;* \(#,##0.00\);_(&quot;₹&quot;* &quot;-&quot;??_);_(@_)">
                  <c:v>18753.310000000001</c:v>
                </c:pt>
                <c:pt idx="5" formatCode="_(&quot;₹&quot;* #,##0.00_);_(&quot;₹&quot;* \(#,##0.00\);_(&quot;₹&quot;* &quot;-&quot;??_);_(@_)">
                  <c:v>19283.011789875552</c:v>
                </c:pt>
                <c:pt idx="6" formatCode="_(&quot;₹&quot;* #,##0.00_);_(&quot;₹&quot;* \(#,##0.00\);_(&quot;₹&quot;* &quot;-&quot;??_);_(@_)">
                  <c:v>20646.522936229983</c:v>
                </c:pt>
                <c:pt idx="7" formatCode="_(&quot;₹&quot;* #,##0.00_);_(&quot;₹&quot;* \(#,##0.00\);_(&quot;₹&quot;* &quot;-&quot;??_);_(@_)">
                  <c:v>22010.034082584418</c:v>
                </c:pt>
                <c:pt idx="8" formatCode="_(&quot;₹&quot;* #,##0.00_);_(&quot;₹&quot;* \(#,##0.00\);_(&quot;₹&quot;* &quot;-&quot;??_);_(@_)">
                  <c:v>23373.545228938849</c:v>
                </c:pt>
                <c:pt idx="9" formatCode="_(&quot;₹&quot;* #,##0.00_);_(&quot;₹&quot;* \(#,##0.00\);_(&quot;₹&quot;* &quot;-&quot;??_);_(@_)">
                  <c:v>24737.056375293283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54-499C-A73F-C7B65982A41F}"/>
            </c:ext>
          </c:extLst>
        </c:ser>
        <c:ser>
          <c:idx val="2"/>
          <c:order val="2"/>
          <c:tx>
            <c:strRef>
              <c:f>'Profit Forecast'!$D$1</c:f>
              <c:strCache>
                <c:ptCount val="1"/>
                <c:pt idx="0">
                  <c:v>Lower Confidence Bound(Net Profit)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'Profit Forecast'!$A$2:$A$11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'Profit Forecast'!$D$2:$D$11</c:f>
              <c:numCache>
                <c:formatCode>General</c:formatCode>
                <c:ptCount val="10"/>
                <c:pt idx="4" formatCode="_(&quot;₹&quot;* #,##0.00_);_(&quot;₹&quot;* \(#,##0.00\);_(&quot;₹&quot;* &quot;-&quot;??_);_(@_)">
                  <c:v>18753.310000000001</c:v>
                </c:pt>
                <c:pt idx="5" formatCode="_(&quot;₹&quot;* #,##0.00_);_(&quot;₹&quot;* \(#,##0.00\);_(&quot;₹&quot;* &quot;-&quot;??_);_(@_)">
                  <c:v>16602.694600682957</c:v>
                </c:pt>
                <c:pt idx="6" formatCode="_(&quot;₹&quot;* #,##0.00_);_(&quot;₹&quot;* \(#,##0.00\);_(&quot;₹&quot;* &quot;-&quot;??_);_(@_)">
                  <c:v>17966.193685637172</c:v>
                </c:pt>
                <c:pt idx="7" formatCode="_(&quot;₹&quot;* #,##0.00_);_(&quot;₹&quot;* \(#,##0.00\);_(&quot;₹&quot;* &quot;-&quot;??_);_(@_)">
                  <c:v>19329.683389636353</c:v>
                </c:pt>
                <c:pt idx="8" formatCode="_(&quot;₹&quot;* #,##0.00_);_(&quot;₹&quot;* \(#,##0.00\);_(&quot;₹&quot;* &quot;-&quot;??_);_(@_)">
                  <c:v>20693.161032654098</c:v>
                </c:pt>
                <c:pt idx="9" formatCode="_(&quot;₹&quot;* #,##0.00_);_(&quot;₹&quot;* \(#,##0.00\);_(&quot;₹&quot;* &quot;-&quot;??_);_(@_)">
                  <c:v>22056.623934939398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54-499C-A73F-C7B65982A41F}"/>
            </c:ext>
          </c:extLst>
        </c:ser>
        <c:ser>
          <c:idx val="3"/>
          <c:order val="3"/>
          <c:tx>
            <c:strRef>
              <c:f>'Profit Forecast'!$E$1</c:f>
              <c:strCache>
                <c:ptCount val="1"/>
                <c:pt idx="0">
                  <c:v>Upper Confidence Bound(Net Profit)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'Profit Forecast'!$A$2:$A$11</c:f>
              <c:numCache>
                <c:formatCode>General</c:formatCode>
                <c:ptCount val="1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</c:numCache>
            </c:numRef>
          </c:cat>
          <c:val>
            <c:numRef>
              <c:f>'Profit Forecast'!$E$2:$E$11</c:f>
              <c:numCache>
                <c:formatCode>General</c:formatCode>
                <c:ptCount val="10"/>
                <c:pt idx="4" formatCode="_(&quot;₹&quot;* #,##0.00_);_(&quot;₹&quot;* \(#,##0.00\);_(&quot;₹&quot;* &quot;-&quot;??_);_(@_)">
                  <c:v>18753.310000000001</c:v>
                </c:pt>
                <c:pt idx="5" formatCode="_(&quot;₹&quot;* #,##0.00_);_(&quot;₹&quot;* \(#,##0.00\);_(&quot;₹&quot;* &quot;-&quot;??_);_(@_)">
                  <c:v>21963.328979068148</c:v>
                </c:pt>
                <c:pt idx="6" formatCode="_(&quot;₹&quot;* #,##0.00_);_(&quot;₹&quot;* \(#,##0.00\);_(&quot;₹&quot;* &quot;-&quot;??_);_(@_)">
                  <c:v>23326.852186822794</c:v>
                </c:pt>
                <c:pt idx="7" formatCode="_(&quot;₹&quot;* #,##0.00_);_(&quot;₹&quot;* \(#,##0.00\);_(&quot;₹&quot;* &quot;-&quot;??_);_(@_)">
                  <c:v>24690.384775532482</c:v>
                </c:pt>
                <c:pt idx="8" formatCode="_(&quot;₹&quot;* #,##0.00_);_(&quot;₹&quot;* \(#,##0.00\);_(&quot;₹&quot;* &quot;-&quot;??_);_(@_)">
                  <c:v>26053.9294252236</c:v>
                </c:pt>
                <c:pt idx="9" formatCode="_(&quot;₹&quot;* #,##0.00_);_(&quot;₹&quot;* \(#,##0.00\);_(&quot;₹&quot;* &quot;-&quot;??_);_(@_)">
                  <c:v>27417.488815647168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54-499C-A73F-C7B65982A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4535568"/>
        <c:axId val="287957455"/>
      </c:lineChart>
      <c:catAx>
        <c:axId val="1944535568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57455"/>
        <c:crosses val="autoZero"/>
        <c:auto val="1"/>
        <c:lblAlgn val="ctr"/>
        <c:lblOffset val="100"/>
        <c:noMultiLvlLbl val="0"/>
      </c:catAx>
      <c:valAx>
        <c:axId val="2879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₹&quot;* #,##0.00_);_(&quot;₹&quot;* \(#,##0.00\);_(&quot;₹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453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'Competitor Analysis'!$D$6</c:f>
              <c:strCache>
                <c:ptCount val="1"/>
                <c:pt idx="0">
                  <c:v>ITC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'Competitor Analysis'!$C$7:$C$11</c:f>
              <c:strCache>
                <c:ptCount val="5"/>
                <c:pt idx="0">
                  <c:v>Basic EPS (Rs.)</c:v>
                </c:pt>
                <c:pt idx="1">
                  <c:v>Net Profit Margin (%)</c:v>
                </c:pt>
                <c:pt idx="2">
                  <c:v>Return on Networth / Equity (%)</c:v>
                </c:pt>
                <c:pt idx="3">
                  <c:v>Return on Capital Employed (%)</c:v>
                </c:pt>
                <c:pt idx="4">
                  <c:v>Current Ratio (X)</c:v>
                </c:pt>
              </c:strCache>
            </c:strRef>
          </c:cat>
          <c:val>
            <c:numRef>
              <c:f>'Competitor Analysis'!$D$7:$D$11</c:f>
              <c:numCache>
                <c:formatCode>General</c:formatCode>
                <c:ptCount val="5"/>
                <c:pt idx="0">
                  <c:v>15.15</c:v>
                </c:pt>
                <c:pt idx="1">
                  <c:v>28.39</c:v>
                </c:pt>
                <c:pt idx="2">
                  <c:v>27.74</c:v>
                </c:pt>
                <c:pt idx="3">
                  <c:v>35.39</c:v>
                </c:pt>
                <c:pt idx="4">
                  <c:v>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80-4E6C-823D-FFE4383143C2}"/>
            </c:ext>
          </c:extLst>
        </c:ser>
        <c:ser>
          <c:idx val="1"/>
          <c:order val="1"/>
          <c:tx>
            <c:strRef>
              <c:f>'Competitor Analysis'!$E$6</c:f>
              <c:strCache>
                <c:ptCount val="1"/>
                <c:pt idx="0">
                  <c:v>HUL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'Competitor Analysis'!$C$7:$C$11</c:f>
              <c:strCache>
                <c:ptCount val="5"/>
                <c:pt idx="0">
                  <c:v>Basic EPS (Rs.)</c:v>
                </c:pt>
                <c:pt idx="1">
                  <c:v>Net Profit Margin (%)</c:v>
                </c:pt>
                <c:pt idx="2">
                  <c:v>Return on Networth / Equity (%)</c:v>
                </c:pt>
                <c:pt idx="3">
                  <c:v>Return on Capital Employed (%)</c:v>
                </c:pt>
                <c:pt idx="4">
                  <c:v>Current Ratio (X)</c:v>
                </c:pt>
              </c:strCache>
            </c:strRef>
          </c:cat>
          <c:val>
            <c:numRef>
              <c:f>'Competitor Analysis'!$E$7:$E$11</c:f>
              <c:numCache>
                <c:formatCode>General</c:formatCode>
                <c:ptCount val="5"/>
                <c:pt idx="0">
                  <c:v>42.4</c:v>
                </c:pt>
                <c:pt idx="1">
                  <c:v>16.84</c:v>
                </c:pt>
                <c:pt idx="2">
                  <c:v>19.829999999999998</c:v>
                </c:pt>
                <c:pt idx="3">
                  <c:v>21.99</c:v>
                </c:pt>
                <c:pt idx="4">
                  <c:v>1.38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80-4E6C-823D-FFE4383143C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27294975"/>
        <c:axId val="280060143"/>
      </c:barChart>
      <c:catAx>
        <c:axId val="127294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060143"/>
        <c:crosses val="autoZero"/>
        <c:auto val="1"/>
        <c:lblAlgn val="ctr"/>
        <c:lblOffset val="100"/>
        <c:noMultiLvlLbl val="0"/>
      </c:catAx>
      <c:valAx>
        <c:axId val="2800601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94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Workings!$B$31</c:f>
              <c:strCache>
                <c:ptCount val="1"/>
                <c:pt idx="0">
                  <c:v>ROI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ABA8-42CE-A409-30472D17247E}"/>
              </c:ext>
            </c:extLst>
          </c:dPt>
          <c:dPt>
            <c:idx val="1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ABA8-42CE-A409-30472D17247E}"/>
              </c:ext>
            </c:extLst>
          </c:dPt>
          <c:val>
            <c:numRef>
              <c:f>Workings!$C$31:$D$31</c:f>
              <c:numCache>
                <c:formatCode>0.00%</c:formatCode>
                <c:ptCount val="2"/>
                <c:pt idx="0">
                  <c:v>3.8899999999999997E-2</c:v>
                </c:pt>
                <c:pt idx="1">
                  <c:v>4.5600000000000002E-2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A8-42CE-A409-30472D17247E}"/>
            </c:ext>
          </c:extLst>
        </c:ser>
        <c:ser>
          <c:idx val="0"/>
          <c:order val="1"/>
          <c:tx>
            <c:strRef>
              <c:f>Workings!$B$31</c:f>
              <c:strCache>
                <c:ptCount val="1"/>
                <c:pt idx="0">
                  <c:v>ROI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BA8-42CE-A409-30472D17247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BA8-42CE-A409-30472D17247E}"/>
              </c:ext>
            </c:extLst>
          </c:dPt>
          <c:val>
            <c:numRef>
              <c:f>Workings!$C$31:$D$31</c:f>
              <c:numCache>
                <c:formatCode>0.00%</c:formatCode>
                <c:ptCount val="2"/>
                <c:pt idx="0">
                  <c:v>3.8899999999999997E-2</c:v>
                </c:pt>
                <c:pt idx="1">
                  <c:v>4.5600000000000002E-2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A8-42CE-A409-30472D172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196759259259259"/>
          <c:y val="8.5470085470085479E-3"/>
          <c:w val="0.67129629629629628"/>
          <c:h val="0.99145299145299148"/>
        </c:manualLayout>
      </c:layout>
      <c:doughnutChart>
        <c:varyColors val="1"/>
        <c:ser>
          <c:idx val="1"/>
          <c:order val="0"/>
          <c:tx>
            <c:strRef>
              <c:f>Workings!$B$32</c:f>
              <c:strCache>
                <c:ptCount val="1"/>
                <c:pt idx="0">
                  <c:v>Net Profit Margin Ratio(NPM)</c:v>
                </c:pt>
              </c:strCache>
            </c:strRef>
          </c:tx>
          <c:spPr>
            <a:noFill/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8-4474-498C-848B-A525E9F089B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4474-498C-848B-A525E9F089BE}"/>
              </c:ext>
            </c:extLst>
          </c:dPt>
          <c:val>
            <c:numRef>
              <c:f>Workings!$C$32:$D$32</c:f>
              <c:numCache>
                <c:formatCode>0.00%</c:formatCode>
                <c:ptCount val="2"/>
                <c:pt idx="0">
                  <c:v>0.28389999999999999</c:v>
                </c:pt>
                <c:pt idx="1">
                  <c:v>0.33169999999999999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74-498C-848B-A525E9F089BE}"/>
            </c:ext>
          </c:extLst>
        </c:ser>
        <c:ser>
          <c:idx val="0"/>
          <c:order val="1"/>
          <c:tx>
            <c:strRef>
              <c:f>Workings!$B$32</c:f>
              <c:strCache>
                <c:ptCount val="1"/>
                <c:pt idx="0">
                  <c:v>Net Profit Margin Ratio(NPM)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474-498C-848B-A525E9F089B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474-498C-848B-A525E9F089BE}"/>
              </c:ext>
            </c:extLst>
          </c:dPt>
          <c:val>
            <c:numRef>
              <c:f>Workings!$C$32:$D$32</c:f>
              <c:numCache>
                <c:formatCode>0.00%</c:formatCode>
                <c:ptCount val="2"/>
                <c:pt idx="0">
                  <c:v>0.28389999999999999</c:v>
                </c:pt>
                <c:pt idx="1">
                  <c:v>0.33169999999999999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74-498C-848B-A525E9F08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488314883148832"/>
          <c:y val="4.2323504204831532E-2"/>
          <c:w val="0.65573989598163696"/>
          <c:h val="0.90666077454603888"/>
        </c:manualLayout>
      </c:layout>
      <c:doughnutChart>
        <c:varyColors val="1"/>
        <c:ser>
          <c:idx val="1"/>
          <c:order val="0"/>
          <c:tx>
            <c:strRef>
              <c:f>Workings!$B$33</c:f>
              <c:strCache>
                <c:ptCount val="1"/>
                <c:pt idx="0">
                  <c:v>ROA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C-012D-4F1C-BA9A-7D68B1A502E3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D-012D-4F1C-BA9A-7D68B1A502E3}"/>
              </c:ext>
            </c:extLst>
          </c:dPt>
          <c:val>
            <c:numRef>
              <c:f>Workings!$C$33:$D$33</c:f>
              <c:numCache>
                <c:formatCode>0.00%</c:formatCode>
                <c:ptCount val="2"/>
                <c:pt idx="0">
                  <c:v>0.22789999999999999</c:v>
                </c:pt>
                <c:pt idx="1">
                  <c:v>0.22789999999999999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12D-4F1C-BA9A-7D68B1A502E3}"/>
            </c:ext>
          </c:extLst>
        </c:ser>
        <c:ser>
          <c:idx val="0"/>
          <c:order val="1"/>
          <c:tx>
            <c:strRef>
              <c:f>Workings!$B$33</c:f>
              <c:strCache>
                <c:ptCount val="1"/>
                <c:pt idx="0">
                  <c:v>ROA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12D-4F1C-BA9A-7D68B1A502E3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12D-4F1C-BA9A-7D68B1A502E3}"/>
              </c:ext>
            </c:extLst>
          </c:dPt>
          <c:val>
            <c:numRef>
              <c:f>Workings!$C$33:$D$33</c:f>
              <c:numCache>
                <c:formatCode>0.00%</c:formatCode>
                <c:ptCount val="2"/>
                <c:pt idx="0">
                  <c:v>0.22789999999999999</c:v>
                </c:pt>
                <c:pt idx="1">
                  <c:v>0.22789999999999999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12D-4F1C-BA9A-7D68B1A5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0"/>
          <c:tx>
            <c:strRef>
              <c:f>Workings!$B$34</c:f>
              <c:strCache>
                <c:ptCount val="1"/>
                <c:pt idx="0">
                  <c:v>Quick Ratio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92D05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C-4CA0-481A-88C8-E9BB0E198506}"/>
              </c:ext>
            </c:extLst>
          </c:dPt>
          <c:dPt>
            <c:idx val="1"/>
            <c:bubble3D val="0"/>
            <c:spPr>
              <a:noFill/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D-4CA0-481A-88C8-E9BB0E198506}"/>
              </c:ext>
            </c:extLst>
          </c:dPt>
          <c:val>
            <c:numRef>
              <c:f>Workings!$C$34:$D$34</c:f>
              <c:numCache>
                <c:formatCode>#,##0.00</c:formatCode>
                <c:ptCount val="2"/>
                <c:pt idx="0" formatCode="General">
                  <c:v>1.98</c:v>
                </c:pt>
                <c:pt idx="1">
                  <c:v>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CA0-481A-88C8-E9BB0E198506}"/>
            </c:ext>
          </c:extLst>
        </c:ser>
        <c:ser>
          <c:idx val="0"/>
          <c:order val="1"/>
          <c:tx>
            <c:strRef>
              <c:f>Workings!$B$34</c:f>
              <c:strCache>
                <c:ptCount val="1"/>
                <c:pt idx="0">
                  <c:v>Quick Ratio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CA0-481A-88C8-E9BB0E198506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CA0-481A-88C8-E9BB0E198506}"/>
              </c:ext>
            </c:extLst>
          </c:dPt>
          <c:val>
            <c:numRef>
              <c:f>Workings!$C$34:$D$34</c:f>
              <c:numCache>
                <c:formatCode>#,##0.00</c:formatCode>
                <c:ptCount val="2"/>
                <c:pt idx="0" formatCode="General">
                  <c:v>1.98</c:v>
                </c:pt>
                <c:pt idx="1">
                  <c:v>3.13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CA0-481A-88C8-E9BB0E198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6104460519670269E-4"/>
          <c:y val="4.265873015873016E-2"/>
          <c:w val="0.90037128712871284"/>
          <c:h val="0.88822751322751337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  <a:ln w="25400">
                <a:solidFill>
                  <a:srgbClr val="92D050"/>
                </a:solidFill>
              </a:ln>
              <a:effectLst/>
              <a:sp3d contourW="25400">
                <a:contourClr>
                  <a:srgbClr val="92D05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96B-41AF-BD51-B3E6BFF2D73E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96B-41AF-BD51-B3E6BFF2D73E}"/>
              </c:ext>
            </c:extLst>
          </c:dPt>
          <c:dLbls>
            <c:dLbl>
              <c:idx val="0"/>
              <c:layout>
                <c:manualLayout>
                  <c:x val="-0.11640671478565179"/>
                  <c:y val="0.14354768153980751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96B-41AF-BD51-B3E6BFF2D73E}"/>
                </c:ext>
              </c:extLst>
            </c:dLbl>
            <c:dLbl>
              <c:idx val="1"/>
              <c:layout>
                <c:manualLayout>
                  <c:x val="0.12101345144356955"/>
                  <c:y val="-0.16459281131525225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6B-41AF-BD51-B3E6BFF2D7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Workings!$B$38:$B$39</c:f>
              <c:strCache>
                <c:ptCount val="2"/>
                <c:pt idx="0">
                  <c:v>Total Current Liabilities</c:v>
                </c:pt>
                <c:pt idx="1">
                  <c:v>Total Current Assets</c:v>
                </c:pt>
              </c:strCache>
            </c:strRef>
          </c:cat>
          <c:val>
            <c:numRef>
              <c:f>Workings!$C$38:$C$39</c:f>
              <c:numCache>
                <c:formatCode>_("₹"* #,##0.00_);_("₹"* \(#,##0.00\);_("₹"* "-"??_);_(@_)</c:formatCode>
                <c:ptCount val="2"/>
                <c:pt idx="0">
                  <c:v>12415.62</c:v>
                </c:pt>
                <c:pt idx="1">
                  <c:v>35203.440000000002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6B-41AF-BD51-B3E6BFF2D73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829931972789115E-2"/>
          <c:y val="7.3968217493033381E-2"/>
          <c:w val="0.85034013605442171"/>
          <c:h val="0.89913424887313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1"/>
          <c:dLbls>
            <c:dLbl>
              <c:idx val="0"/>
              <c:layout>
                <c:manualLayout>
                  <c:x val="3.4013605442176557E-3"/>
                  <c:y val="-1.420631834091533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7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92859821093792"/>
                      <c:h val="0.111596362386607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3F3-4DA8-8C80-547D217F6F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Workings!$B$37</c:f>
              <c:strCache>
                <c:ptCount val="1"/>
                <c:pt idx="0">
                  <c:v>% Change </c:v>
                </c:pt>
              </c:strCache>
            </c:strRef>
          </c:cat>
          <c:val>
            <c:numRef>
              <c:f>Workings!$C$37</c:f>
              <c:numCache>
                <c:formatCode>0.00%</c:formatCode>
                <c:ptCount val="1"/>
                <c:pt idx="0">
                  <c:v>0.17077238295266328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A3F3-4DA8-8C80-547D217F6F73}"/>
            </c:ext>
          </c:extLst>
        </c:ser>
        <c:ser>
          <c:idx val="1"/>
          <c:order val="1"/>
          <c:spPr>
            <a:solidFill>
              <a:srgbClr val="92D050"/>
            </a:solidFill>
            <a:ln>
              <a:noFill/>
            </a:ln>
            <a:effectLst/>
          </c:spPr>
          <c:invertIfNegative val="1"/>
          <c:dLbls>
            <c:dLbl>
              <c:idx val="0"/>
              <c:layout>
                <c:manualLayout>
                  <c:x val="-2.7210884353741496E-2"/>
                  <c:y val="-3.02597373612927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836734693877552"/>
                      <c:h val="0.1187377855811217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A3F3-4DA8-8C80-547D217F6F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Workings!$B$37</c:f>
              <c:strCache>
                <c:ptCount val="1"/>
                <c:pt idx="0">
                  <c:v>% Change </c:v>
                </c:pt>
              </c:strCache>
            </c:strRef>
          </c:cat>
          <c:val>
            <c:numRef>
              <c:f>Workings!$D$37</c:f>
              <c:numCache>
                <c:formatCode>0.00%</c:formatCode>
                <c:ptCount val="1"/>
                <c:pt idx="0">
                  <c:v>0.3744899084592479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A3F3-4DA8-8C80-547D217F6F7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56516048"/>
        <c:axId val="1269999872"/>
      </c:barChart>
      <c:catAx>
        <c:axId val="565160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269999872"/>
        <c:crosses val="autoZero"/>
        <c:auto val="1"/>
        <c:lblAlgn val="ctr"/>
        <c:lblOffset val="100"/>
        <c:noMultiLvlLbl val="0"/>
      </c:catAx>
      <c:valAx>
        <c:axId val="1269999872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6516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_xlchart.v1.0</cx:f>
      </cx:strDim>
      <cx:numDim type="size">
        <cx:f dir="row">_xlchart.v1.1</cx:f>
      </cx:numDim>
    </cx:data>
  </cx:chartData>
  <cx:chart>
    <cx:plotArea>
      <cx:plotAreaRegion>
        <cx:series layoutId="treemap" uniqueId="{BD17DDAF-99DA-48FF-B793-7C15DFB53B80}">
          <cx:dataPt idx="0">
            <cx:spPr>
              <a:solidFill>
                <a:srgbClr val="92D050"/>
              </a:solidFill>
            </cx:spPr>
          </cx:dataPt>
          <cx:dataPt idx="1">
            <cx:spPr>
              <a:solidFill>
                <a:srgbClr val="00B050"/>
              </a:solidFill>
            </cx:spPr>
          </cx:dataPt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 b="1"/>
                </a:pPr>
                <a:endParaRPr lang="en-US" sz="1200" b="1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1"/>
            <cx:separator>
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val">
        <cx:f>_xlchart.v1.3</cx:f>
      </cx:numDim>
    </cx:data>
  </cx:chartData>
  <cx:chart>
    <cx:plotArea>
      <cx:plotAreaRegion>
        <cx:series layoutId="waterfall" uniqueId="{84ED8F6D-A5B2-4BA1-BA6C-EABF6EADF965}">
          <cx:spPr>
            <a:solidFill>
              <a:srgbClr val="00B050"/>
            </a:solidFill>
          </cx:spPr>
          <cx:dataPt idx="0">
            <cx:spPr>
              <a:solidFill>
                <a:srgbClr val="92D050"/>
              </a:solidFill>
            </cx:spPr>
          </cx:dataPt>
          <cx:dataPt idx="1">
            <cx:spPr>
              <a:solidFill>
                <a:srgbClr val="92D050"/>
              </a:solidFill>
            </cx:spPr>
          </cx:dataPt>
          <cx:dataPt idx="2">
            <cx:spPr>
              <a:solidFill>
                <a:srgbClr val="92D050"/>
              </a:solidFill>
            </cx:spPr>
          </cx:dataPt>
          <cx:dataPt idx="3">
            <cx:spPr>
              <a:solidFill>
                <a:srgbClr val="92D050"/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>
              <cx:idx val="4"/>
            </cx:subtotals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Workings!$C$22" fmlaRange="Workings!$G$23:$G$27" sel="1" val="0"/>
</file>

<file path=xl/ctrlProps/ctrlProp2.xml><?xml version="1.0" encoding="utf-8"?>
<formControlPr xmlns="http://schemas.microsoft.com/office/spreadsheetml/2009/9/main" objectType="Drop" dropStyle="combo" dx="26" fmlaLink="$C$22" fmlaRange="$G$23:$G$27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ompetitor Analysis'!A1"/><Relationship Id="rId13" Type="http://schemas.openxmlformats.org/officeDocument/2006/relationships/image" Target="../media/image3.svg"/><Relationship Id="rId3" Type="http://schemas.openxmlformats.org/officeDocument/2006/relationships/hyperlink" Target="#'Stock Data'!A1"/><Relationship Id="rId7" Type="http://schemas.openxmlformats.org/officeDocument/2006/relationships/hyperlink" Target="#'Sales Forecast'!A1"/><Relationship Id="rId12" Type="http://schemas.openxmlformats.org/officeDocument/2006/relationships/image" Target="../media/image2.png"/><Relationship Id="rId2" Type="http://schemas.openxmlformats.org/officeDocument/2006/relationships/hyperlink" Target="#'P&amp;L'!A1"/><Relationship Id="rId1" Type="http://schemas.openxmlformats.org/officeDocument/2006/relationships/hyperlink" Target="#'Balance Sheet'!A1"/><Relationship Id="rId6" Type="http://schemas.openxmlformats.org/officeDocument/2006/relationships/hyperlink" Target="#Correlation!A1"/><Relationship Id="rId11" Type="http://schemas.openxmlformats.org/officeDocument/2006/relationships/image" Target="../media/image1.png"/><Relationship Id="rId5" Type="http://schemas.openxmlformats.org/officeDocument/2006/relationships/hyperlink" Target="#Regression!A1"/><Relationship Id="rId10" Type="http://schemas.openxmlformats.org/officeDocument/2006/relationships/hyperlink" Target="#Dashboard!A1"/><Relationship Id="rId4" Type="http://schemas.openxmlformats.org/officeDocument/2006/relationships/hyperlink" Target="#'Desc Stats'!A1"/><Relationship Id="rId9" Type="http://schemas.openxmlformats.org/officeDocument/2006/relationships/hyperlink" Target="#'Profit Forecast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'Home Page'!A1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hyperlink" Target="#'P&amp;L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7.svg"/><Relationship Id="rId2" Type="http://schemas.openxmlformats.org/officeDocument/2006/relationships/hyperlink" Target="#'Home Page'!A1"/><Relationship Id="rId1" Type="http://schemas.openxmlformats.org/officeDocument/2006/relationships/image" Target="../media/image8.gif"/><Relationship Id="rId6" Type="http://schemas.openxmlformats.org/officeDocument/2006/relationships/image" Target="../media/image6.png"/><Relationship Id="rId5" Type="http://schemas.openxmlformats.org/officeDocument/2006/relationships/hyperlink" Target="#'Stock Data'!A1"/><Relationship Id="rId4" Type="http://schemas.openxmlformats.org/officeDocument/2006/relationships/image" Target="../media/image5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'Home Page'!A1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hyperlink" Target="#'Desc Stat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'Home Page'!A1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hyperlink" Target="#Regression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3" Type="http://schemas.openxmlformats.org/officeDocument/2006/relationships/hyperlink" Target="#'Home Page'!A1"/><Relationship Id="rId7" Type="http://schemas.openxmlformats.org/officeDocument/2006/relationships/image" Target="../media/image6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Correlation!A1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2" Type="http://schemas.openxmlformats.org/officeDocument/2006/relationships/image" Target="../media/image4.png"/><Relationship Id="rId1" Type="http://schemas.openxmlformats.org/officeDocument/2006/relationships/hyperlink" Target="#'Home Page'!A1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hyperlink" Target="#'Sales Forecast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svg"/><Relationship Id="rId7" Type="http://schemas.openxmlformats.org/officeDocument/2006/relationships/image" Target="../media/image7.svg"/><Relationship Id="rId2" Type="http://schemas.openxmlformats.org/officeDocument/2006/relationships/image" Target="../media/image4.png"/><Relationship Id="rId1" Type="http://schemas.openxmlformats.org/officeDocument/2006/relationships/hyperlink" Target="#'Home Page'!A1"/><Relationship Id="rId6" Type="http://schemas.openxmlformats.org/officeDocument/2006/relationships/image" Target="../media/image6.png"/><Relationship Id="rId5" Type="http://schemas.openxmlformats.org/officeDocument/2006/relationships/hyperlink" Target="#'Profit Forecast'!A1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7.svg"/><Relationship Id="rId2" Type="http://schemas.openxmlformats.org/officeDocument/2006/relationships/hyperlink" Target="#'Home Page'!A1"/><Relationship Id="rId1" Type="http://schemas.openxmlformats.org/officeDocument/2006/relationships/chart" Target="../charts/chart4.xml"/><Relationship Id="rId6" Type="http://schemas.openxmlformats.org/officeDocument/2006/relationships/image" Target="../media/image6.png"/><Relationship Id="rId5" Type="http://schemas.openxmlformats.org/officeDocument/2006/relationships/hyperlink" Target="#'Competitor Analysis'!A1"/><Relationship Id="rId4" Type="http://schemas.openxmlformats.org/officeDocument/2006/relationships/image" Target="../media/image5.sv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7.svg"/><Relationship Id="rId2" Type="http://schemas.openxmlformats.org/officeDocument/2006/relationships/hyperlink" Target="#'Home Page'!A1"/><Relationship Id="rId1" Type="http://schemas.openxmlformats.org/officeDocument/2006/relationships/chart" Target="../charts/chart5.xml"/><Relationship Id="rId6" Type="http://schemas.openxmlformats.org/officeDocument/2006/relationships/image" Target="../media/image6.png"/><Relationship Id="rId5" Type="http://schemas.openxmlformats.org/officeDocument/2006/relationships/hyperlink" Target="#Dashboard!A1"/><Relationship Id="rId4" Type="http://schemas.openxmlformats.org/officeDocument/2006/relationships/image" Target="../media/image5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image" Target="../media/image12.svg"/><Relationship Id="rId18" Type="http://schemas.openxmlformats.org/officeDocument/2006/relationships/chart" Target="../charts/chart11.xml"/><Relationship Id="rId3" Type="http://schemas.openxmlformats.org/officeDocument/2006/relationships/image" Target="../media/image9.png"/><Relationship Id="rId7" Type="http://schemas.openxmlformats.org/officeDocument/2006/relationships/chart" Target="../charts/chart8.xml"/><Relationship Id="rId12" Type="http://schemas.openxmlformats.org/officeDocument/2006/relationships/image" Target="../media/image11.png"/><Relationship Id="rId17" Type="http://schemas.openxmlformats.org/officeDocument/2006/relationships/chart" Target="../charts/chart10.xml"/><Relationship Id="rId2" Type="http://schemas.openxmlformats.org/officeDocument/2006/relationships/hyperlink" Target="#'Home Page'!A1"/><Relationship Id="rId16" Type="http://schemas.openxmlformats.org/officeDocument/2006/relationships/image" Target="../media/image14.svg"/><Relationship Id="rId1" Type="http://schemas.openxmlformats.org/officeDocument/2006/relationships/chart" Target="../charts/chart6.xml"/><Relationship Id="rId6" Type="http://schemas.openxmlformats.org/officeDocument/2006/relationships/chart" Target="../charts/chart7.xml"/><Relationship Id="rId11" Type="http://schemas.openxmlformats.org/officeDocument/2006/relationships/hyperlink" Target="#Workings!A1"/><Relationship Id="rId5" Type="http://schemas.openxmlformats.org/officeDocument/2006/relationships/image" Target="../media/image1.png"/><Relationship Id="rId15" Type="http://schemas.openxmlformats.org/officeDocument/2006/relationships/image" Target="../media/image13.png"/><Relationship Id="rId10" Type="http://schemas.microsoft.com/office/2014/relationships/chartEx" Target="../charts/chartEx2.xml"/><Relationship Id="rId4" Type="http://schemas.openxmlformats.org/officeDocument/2006/relationships/image" Target="../media/image10.svg"/><Relationship Id="rId9" Type="http://schemas.microsoft.com/office/2014/relationships/chartEx" Target="../charts/chartEx1.xml"/><Relationship Id="rId14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449580</xdr:colOff>
      <xdr:row>0</xdr:row>
      <xdr:rowOff>121920</xdr:rowOff>
    </xdr:from>
    <xdr:to>
      <xdr:col>17</xdr:col>
      <xdr:colOff>342900</xdr:colOff>
      <xdr:row>21</xdr:row>
      <xdr:rowOff>76200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668780" y="121920"/>
          <a:ext cx="9037320" cy="379476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76200</xdr:colOff>
      <xdr:row>7</xdr:row>
      <xdr:rowOff>83820</xdr:rowOff>
    </xdr:from>
    <xdr:to>
      <xdr:col>6</xdr:col>
      <xdr:colOff>441960</xdr:colOff>
      <xdr:row>10</xdr:row>
      <xdr:rowOff>129540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514600" y="815340"/>
          <a:ext cx="1584960" cy="59436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Balance Sheet</a:t>
          </a:r>
        </a:p>
      </xdr:txBody>
    </xdr:sp>
    <xdr:clientData/>
  </xdr:twoCellAnchor>
  <xdr:twoCellAnchor>
    <xdr:from>
      <xdr:col>7</xdr:col>
      <xdr:colOff>53340</xdr:colOff>
      <xdr:row>7</xdr:row>
      <xdr:rowOff>76200</xdr:rowOff>
    </xdr:from>
    <xdr:to>
      <xdr:col>9</xdr:col>
      <xdr:colOff>472440</xdr:colOff>
      <xdr:row>10</xdr:row>
      <xdr:rowOff>160020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20540" y="807720"/>
          <a:ext cx="1638300" cy="63246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 baseline="0"/>
            <a:t>Profit and Loss Statement</a:t>
          </a:r>
          <a:endParaRPr lang="en-IN" sz="1400" b="1"/>
        </a:p>
      </xdr:txBody>
    </xdr:sp>
    <xdr:clientData/>
  </xdr:twoCellAnchor>
  <xdr:twoCellAnchor>
    <xdr:from>
      <xdr:col>10</xdr:col>
      <xdr:colOff>99060</xdr:colOff>
      <xdr:row>7</xdr:row>
      <xdr:rowOff>83820</xdr:rowOff>
    </xdr:from>
    <xdr:to>
      <xdr:col>12</xdr:col>
      <xdr:colOff>480060</xdr:colOff>
      <xdr:row>10</xdr:row>
      <xdr:rowOff>129540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195060" y="815340"/>
          <a:ext cx="1600200" cy="59436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Stock Data</a:t>
          </a:r>
        </a:p>
      </xdr:txBody>
    </xdr:sp>
    <xdr:clientData/>
  </xdr:twoCellAnchor>
  <xdr:twoCellAnchor>
    <xdr:from>
      <xdr:col>4</xdr:col>
      <xdr:colOff>83820</xdr:colOff>
      <xdr:row>11</xdr:row>
      <xdr:rowOff>160020</xdr:rowOff>
    </xdr:from>
    <xdr:to>
      <xdr:col>6</xdr:col>
      <xdr:colOff>487680</xdr:colOff>
      <xdr:row>15</xdr:row>
      <xdr:rowOff>30480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22220" y="1623060"/>
          <a:ext cx="1623060" cy="60198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Descriptive Statistics</a:t>
          </a:r>
        </a:p>
      </xdr:txBody>
    </xdr:sp>
    <xdr:clientData/>
  </xdr:twoCellAnchor>
  <xdr:twoCellAnchor>
    <xdr:from>
      <xdr:col>7</xdr:col>
      <xdr:colOff>83820</xdr:colOff>
      <xdr:row>11</xdr:row>
      <xdr:rowOff>160020</xdr:rowOff>
    </xdr:from>
    <xdr:to>
      <xdr:col>9</xdr:col>
      <xdr:colOff>487680</xdr:colOff>
      <xdr:row>15</xdr:row>
      <xdr:rowOff>30480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351020" y="1623060"/>
          <a:ext cx="1623060" cy="60198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Regression Analysis</a:t>
          </a:r>
        </a:p>
      </xdr:txBody>
    </xdr:sp>
    <xdr:clientData/>
  </xdr:twoCellAnchor>
  <xdr:twoCellAnchor>
    <xdr:from>
      <xdr:col>10</xdr:col>
      <xdr:colOff>99060</xdr:colOff>
      <xdr:row>11</xdr:row>
      <xdr:rowOff>160020</xdr:rowOff>
    </xdr:from>
    <xdr:to>
      <xdr:col>12</xdr:col>
      <xdr:colOff>502920</xdr:colOff>
      <xdr:row>15</xdr:row>
      <xdr:rowOff>30480</xdr:rowOff>
    </xdr:to>
    <xdr:sp macro="" textlink="">
      <xdr:nvSpPr>
        <xdr:cNvPr id="7" name="Rectangle: Rounded Corner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195060" y="1623060"/>
          <a:ext cx="1623060" cy="60198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Correlation</a:t>
          </a:r>
        </a:p>
      </xdr:txBody>
    </xdr:sp>
    <xdr:clientData/>
  </xdr:twoCellAnchor>
  <xdr:twoCellAnchor>
    <xdr:from>
      <xdr:col>4</xdr:col>
      <xdr:colOff>60960</xdr:colOff>
      <xdr:row>16</xdr:row>
      <xdr:rowOff>91440</xdr:rowOff>
    </xdr:from>
    <xdr:to>
      <xdr:col>6</xdr:col>
      <xdr:colOff>464820</xdr:colOff>
      <xdr:row>19</xdr:row>
      <xdr:rowOff>144780</xdr:rowOff>
    </xdr:to>
    <xdr:sp macro="" textlink="">
      <xdr:nvSpPr>
        <xdr:cNvPr id="8" name="Rectangle: Rounded Corners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499360" y="2468880"/>
          <a:ext cx="1623060" cy="60198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Sales Forecast</a:t>
          </a:r>
        </a:p>
      </xdr:txBody>
    </xdr:sp>
    <xdr:clientData/>
  </xdr:twoCellAnchor>
  <xdr:twoCellAnchor>
    <xdr:from>
      <xdr:col>10</xdr:col>
      <xdr:colOff>121920</xdr:colOff>
      <xdr:row>16</xdr:row>
      <xdr:rowOff>83820</xdr:rowOff>
    </xdr:from>
    <xdr:to>
      <xdr:col>12</xdr:col>
      <xdr:colOff>525780</xdr:colOff>
      <xdr:row>19</xdr:row>
      <xdr:rowOff>137160</xdr:rowOff>
    </xdr:to>
    <xdr:sp macro="" textlink="">
      <xdr:nvSpPr>
        <xdr:cNvPr id="9" name="Rectangle: Rounded Corners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217920" y="2461260"/>
          <a:ext cx="1623060" cy="60198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Competitor Analysis</a:t>
          </a:r>
        </a:p>
      </xdr:txBody>
    </xdr:sp>
    <xdr:clientData/>
  </xdr:twoCellAnchor>
  <xdr:twoCellAnchor>
    <xdr:from>
      <xdr:col>7</xdr:col>
      <xdr:colOff>114300</xdr:colOff>
      <xdr:row>16</xdr:row>
      <xdr:rowOff>83820</xdr:rowOff>
    </xdr:from>
    <xdr:to>
      <xdr:col>9</xdr:col>
      <xdr:colOff>518160</xdr:colOff>
      <xdr:row>19</xdr:row>
      <xdr:rowOff>137160</xdr:rowOff>
    </xdr:to>
    <xdr:sp macro="" textlink="">
      <xdr:nvSpPr>
        <xdr:cNvPr id="10" name="Rectangle: Rounded Corners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381500" y="2461260"/>
          <a:ext cx="1623060" cy="60198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Profit Forecast</a:t>
          </a:r>
        </a:p>
      </xdr:txBody>
    </xdr:sp>
    <xdr:clientData/>
  </xdr:twoCellAnchor>
  <xdr:twoCellAnchor>
    <xdr:from>
      <xdr:col>13</xdr:col>
      <xdr:colOff>198120</xdr:colOff>
      <xdr:row>9</xdr:row>
      <xdr:rowOff>15240</xdr:rowOff>
    </xdr:from>
    <xdr:to>
      <xdr:col>15</xdr:col>
      <xdr:colOff>601980</xdr:colOff>
      <xdr:row>16</xdr:row>
      <xdr:rowOff>114300</xdr:rowOff>
    </xdr:to>
    <xdr:sp macro="" textlink="">
      <xdr:nvSpPr>
        <xdr:cNvPr id="11" name="Rectangle: Rounded Corners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22920" y="1661160"/>
          <a:ext cx="1623060" cy="137922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IN" sz="1600" b="1"/>
        </a:p>
        <a:p>
          <a:pPr algn="ctr"/>
          <a:r>
            <a:rPr lang="en-IN" sz="1600" b="1"/>
            <a:t>Dashboard</a:t>
          </a:r>
        </a:p>
      </xdr:txBody>
    </xdr:sp>
    <xdr:clientData/>
  </xdr:twoCellAnchor>
  <xdr:twoCellAnchor editAs="oneCell">
    <xdr:from>
      <xdr:col>3</xdr:col>
      <xdr:colOff>281940</xdr:colOff>
      <xdr:row>1</xdr:row>
      <xdr:rowOff>144779</xdr:rowOff>
    </xdr:from>
    <xdr:to>
      <xdr:col>4</xdr:col>
      <xdr:colOff>533400</xdr:colOff>
      <xdr:row>6</xdr:row>
      <xdr:rowOff>125882</xdr:rowOff>
    </xdr:to>
    <xdr:pic>
      <xdr:nvPicPr>
        <xdr:cNvPr id="12" name="Picture 11" descr="ITC Limited - Wikipedia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10740" y="327659"/>
          <a:ext cx="861060" cy="8955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266700</xdr:colOff>
      <xdr:row>3</xdr:row>
      <xdr:rowOff>129540</xdr:rowOff>
    </xdr:from>
    <xdr:to>
      <xdr:col>16</xdr:col>
      <xdr:colOff>518160</xdr:colOff>
      <xdr:row>5</xdr:row>
      <xdr:rowOff>144780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314700" y="678180"/>
          <a:ext cx="6957060" cy="38100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ANALYSIS OF FINANCIAL PERFORMANCE</a:t>
          </a:r>
        </a:p>
      </xdr:txBody>
    </xdr:sp>
    <xdr:clientData/>
  </xdr:twoCellAnchor>
  <xdr:twoCellAnchor editAs="oneCell">
    <xdr:from>
      <xdr:col>14</xdr:col>
      <xdr:colOff>160020</xdr:colOff>
      <xdr:row>12</xdr:row>
      <xdr:rowOff>137160</xdr:rowOff>
    </xdr:from>
    <xdr:to>
      <xdr:col>15</xdr:col>
      <xdr:colOff>22860</xdr:colOff>
      <xdr:row>15</xdr:row>
      <xdr:rowOff>67061</xdr:rowOff>
    </xdr:to>
    <xdr:pic>
      <xdr:nvPicPr>
        <xdr:cNvPr id="15" name="Graphic 14" descr="Presentation with pie chart with solid fill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8694420" y="2331720"/>
          <a:ext cx="472440" cy="478541"/>
        </a:xfrm>
        <a:prstGeom prst="rect">
          <a:avLst/>
        </a:prstGeom>
      </xdr:spPr>
    </xdr:pic>
    <xdr:clientData/>
  </xdr:twoCellAnchor>
  <xdr:twoCellAnchor>
    <xdr:from>
      <xdr:col>6</xdr:col>
      <xdr:colOff>563880</xdr:colOff>
      <xdr:row>1</xdr:row>
      <xdr:rowOff>114300</xdr:rowOff>
    </xdr:from>
    <xdr:to>
      <xdr:col>15</xdr:col>
      <xdr:colOff>152400</xdr:colOff>
      <xdr:row>3</xdr:row>
      <xdr:rowOff>129540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221480" y="297180"/>
          <a:ext cx="5074920" cy="38100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800" b="1"/>
            <a:t>ITC LIMITED</a:t>
          </a:r>
        </a:p>
      </xdr:txBody>
    </xdr:sp>
    <xdr:clientData/>
  </xdr:twoCellAnchor>
  <xdr:twoCellAnchor>
    <xdr:from>
      <xdr:col>17</xdr:col>
      <xdr:colOff>518160</xdr:colOff>
      <xdr:row>3</xdr:row>
      <xdr:rowOff>38100</xdr:rowOff>
    </xdr:from>
    <xdr:to>
      <xdr:col>21</xdr:col>
      <xdr:colOff>411480</xdr:colOff>
      <xdr:row>16</xdr:row>
      <xdr:rowOff>152400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18420" y="586740"/>
          <a:ext cx="2331720" cy="249174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600" b="1" u="sng">
              <a:solidFill>
                <a:sysClr val="windowText" lastClr="000000"/>
              </a:solidFill>
            </a:rPr>
            <a:t>TEAM MEMBERS</a:t>
          </a:r>
        </a:p>
        <a:p>
          <a:pPr algn="l"/>
          <a:endParaRPr lang="en-IN" sz="1200" b="1">
            <a:solidFill>
              <a:sysClr val="windowText" lastClr="000000"/>
            </a:solidFill>
          </a:endParaRPr>
        </a:p>
        <a:p>
          <a:pPr algn="ctr"/>
          <a:r>
            <a:rPr lang="en-IN" sz="1200" b="1">
              <a:solidFill>
                <a:sysClr val="windowText" lastClr="000000"/>
              </a:solidFill>
            </a:rPr>
            <a:t>Aishwarya Galdinus</a:t>
          </a:r>
        </a:p>
        <a:p>
          <a:pPr algn="ctr"/>
          <a:endParaRPr lang="en-IN" sz="1200" b="1">
            <a:solidFill>
              <a:sysClr val="windowText" lastClr="000000"/>
            </a:solidFill>
          </a:endParaRPr>
        </a:p>
        <a:p>
          <a:pPr algn="ctr"/>
          <a:r>
            <a:rPr lang="en-IN" sz="1200" b="1">
              <a:solidFill>
                <a:sysClr val="windowText" lastClr="000000"/>
              </a:solidFill>
            </a:rPr>
            <a:t>M S Keerthana</a:t>
          </a:r>
        </a:p>
        <a:p>
          <a:pPr algn="ctr"/>
          <a:endParaRPr lang="en-IN" sz="1200" b="1">
            <a:solidFill>
              <a:sysClr val="windowText" lastClr="000000"/>
            </a:solidFill>
          </a:endParaRPr>
        </a:p>
        <a:p>
          <a:pPr algn="ctr"/>
          <a:r>
            <a:rPr lang="en-IN" sz="1200" b="1">
              <a:solidFill>
                <a:sysClr val="windowText" lastClr="000000"/>
              </a:solidFill>
            </a:rPr>
            <a:t>Satheesh</a:t>
          </a:r>
          <a:r>
            <a:rPr lang="en-IN" sz="1200" b="1" baseline="0">
              <a:solidFill>
                <a:sysClr val="windowText" lastClr="000000"/>
              </a:solidFill>
            </a:rPr>
            <a:t> V S</a:t>
          </a:r>
        </a:p>
        <a:p>
          <a:pPr algn="ctr"/>
          <a:endParaRPr lang="en-IN" sz="1200" b="1" baseline="0">
            <a:solidFill>
              <a:sysClr val="windowText" lastClr="000000"/>
            </a:solidFill>
          </a:endParaRPr>
        </a:p>
        <a:p>
          <a:pPr algn="ctr"/>
          <a:r>
            <a:rPr lang="en-IN" sz="1200" b="1" baseline="0">
              <a:solidFill>
                <a:sysClr val="windowText" lastClr="000000"/>
              </a:solidFill>
            </a:rPr>
            <a:t>Kunal Dey</a:t>
          </a:r>
        </a:p>
        <a:p>
          <a:pPr algn="ctr"/>
          <a:endParaRPr lang="en-IN" sz="1200" b="1" baseline="0">
            <a:solidFill>
              <a:sysClr val="windowText" lastClr="000000"/>
            </a:solidFill>
          </a:endParaRPr>
        </a:p>
        <a:p>
          <a:pPr algn="ctr"/>
          <a:r>
            <a:rPr lang="en-IN" sz="1200" b="1" baseline="0">
              <a:solidFill>
                <a:sysClr val="windowText" lastClr="000000"/>
              </a:solidFill>
            </a:rPr>
            <a:t>Bharath Vaj S</a:t>
          </a:r>
          <a:endParaRPr lang="en-IN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121920</xdr:colOff>
      <xdr:row>2</xdr:row>
      <xdr:rowOff>0</xdr:rowOff>
    </xdr:from>
    <xdr:to>
      <xdr:col>12</xdr:col>
      <xdr:colOff>45720</xdr:colOff>
      <xdr:row>4</xdr:row>
      <xdr:rowOff>167640</xdr:rowOff>
    </xdr:to>
    <xdr:pic>
      <xdr:nvPicPr>
        <xdr:cNvPr id="4" name="Graphic 3" descr="Hou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61320" y="304800"/>
          <a:ext cx="533400" cy="533400"/>
        </a:xfrm>
        <a:prstGeom prst="rect">
          <a:avLst/>
        </a:prstGeom>
      </xdr:spPr>
    </xdr:pic>
    <xdr:clientData/>
  </xdr:twoCellAnchor>
  <xdr:twoCellAnchor>
    <xdr:from>
      <xdr:col>10</xdr:col>
      <xdr:colOff>220980</xdr:colOff>
      <xdr:row>5</xdr:row>
      <xdr:rowOff>144780</xdr:rowOff>
    </xdr:from>
    <xdr:to>
      <xdr:col>13</xdr:col>
      <xdr:colOff>45720</xdr:colOff>
      <xdr:row>9</xdr:row>
      <xdr:rowOff>198120</xdr:rowOff>
    </xdr:to>
    <xdr:grpSp>
      <xdr:nvGrpSpPr>
        <xdr:cNvPr id="8" name="Group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10050780" y="998220"/>
          <a:ext cx="1653540" cy="784860"/>
          <a:chOff x="6172200" y="1104900"/>
          <a:chExt cx="1653540" cy="784860"/>
        </a:xfrm>
      </xdr:grpSpPr>
      <xdr:sp macro="" textlink="">
        <xdr:nvSpPr>
          <xdr:cNvPr id="7" name="Oval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/>
        </xdr:nvSpPr>
        <xdr:spPr>
          <a:xfrm>
            <a:off x="6172200" y="1104900"/>
            <a:ext cx="1653540" cy="784860"/>
          </a:xfrm>
          <a:prstGeom prst="ellipse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600" b="1"/>
              <a:t>Next Page</a:t>
            </a:r>
          </a:p>
        </xdr:txBody>
      </xdr:sp>
      <xdr:pic>
        <xdr:nvPicPr>
          <xdr:cNvPr id="6" name="Graphic 5" descr="Arrow Right with solid fill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736080" y="1394460"/>
            <a:ext cx="441960" cy="4419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76200</xdr:colOff>
      <xdr:row>3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576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76200</xdr:colOff>
      <xdr:row>4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3152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76200</xdr:colOff>
      <xdr:row>19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2816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76200</xdr:colOff>
      <xdr:row>19</xdr:row>
      <xdr:rowOff>76200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9392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76200</xdr:colOff>
      <xdr:row>37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20496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76200</xdr:colOff>
      <xdr:row>37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7072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83820</xdr:colOff>
      <xdr:row>1</xdr:row>
      <xdr:rowOff>167640</xdr:rowOff>
    </xdr:from>
    <xdr:to>
      <xdr:col>17</xdr:col>
      <xdr:colOff>7620</xdr:colOff>
      <xdr:row>4</xdr:row>
      <xdr:rowOff>99060</xdr:rowOff>
    </xdr:to>
    <xdr:pic>
      <xdr:nvPicPr>
        <xdr:cNvPr id="9" name="Graphic 8" descr="House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140440" y="167640"/>
          <a:ext cx="533400" cy="533400"/>
        </a:xfrm>
        <a:prstGeom prst="rect">
          <a:avLst/>
        </a:prstGeom>
      </xdr:spPr>
    </xdr:pic>
    <xdr:clientData/>
  </xdr:twoCellAnchor>
  <xdr:twoCellAnchor>
    <xdr:from>
      <xdr:col>15</xdr:col>
      <xdr:colOff>243840</xdr:colOff>
      <xdr:row>4</xdr:row>
      <xdr:rowOff>152400</xdr:rowOff>
    </xdr:from>
    <xdr:to>
      <xdr:col>17</xdr:col>
      <xdr:colOff>548640</xdr:colOff>
      <xdr:row>9</xdr:row>
      <xdr:rowOff>0</xdr:rowOff>
    </xdr:to>
    <xdr:grpSp>
      <xdr:nvGrpSpPr>
        <xdr:cNvPr id="10" name="Group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12131040" y="944880"/>
          <a:ext cx="1524000" cy="762000"/>
          <a:chOff x="6172200" y="1104900"/>
          <a:chExt cx="1653540" cy="784860"/>
        </a:xfrm>
      </xdr:grpSpPr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6172200" y="1104900"/>
            <a:ext cx="1653540" cy="784860"/>
          </a:xfrm>
          <a:prstGeom prst="ellipse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600" b="1"/>
              <a:t>Next Page</a:t>
            </a:r>
          </a:p>
        </xdr:txBody>
      </xdr:sp>
      <xdr:pic>
        <xdr:nvPicPr>
          <xdr:cNvPr id="12" name="Graphic 11" descr="Arrow Right with solid fill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736080" y="1394460"/>
            <a:ext cx="441960" cy="4419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12</xdr:col>
      <xdr:colOff>533400</xdr:colOff>
      <xdr:row>6</xdr:row>
      <xdr:rowOff>167640</xdr:rowOff>
    </xdr:to>
    <xdr:pic>
      <xdr:nvPicPr>
        <xdr:cNvPr id="3" name="Graphic 2" descr="Hou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1920" y="731520"/>
          <a:ext cx="533400" cy="533400"/>
        </a:xfrm>
        <a:prstGeom prst="rect">
          <a:avLst/>
        </a:prstGeom>
      </xdr:spPr>
    </xdr:pic>
    <xdr:clientData/>
  </xdr:twoCellAnchor>
  <xdr:twoCellAnchor>
    <xdr:from>
      <xdr:col>14</xdr:col>
      <xdr:colOff>7620</xdr:colOff>
      <xdr:row>3</xdr:row>
      <xdr:rowOff>45720</xdr:rowOff>
    </xdr:from>
    <xdr:to>
      <xdr:col>16</xdr:col>
      <xdr:colOff>312420</xdr:colOff>
      <xdr:row>7</xdr:row>
      <xdr:rowOff>76200</xdr:rowOff>
    </xdr:to>
    <xdr:grpSp>
      <xdr:nvGrpSpPr>
        <xdr:cNvPr id="4" name="Group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9098280" y="594360"/>
          <a:ext cx="1524000" cy="762000"/>
          <a:chOff x="6172200" y="1104900"/>
          <a:chExt cx="1653540" cy="784860"/>
        </a:xfrm>
      </xdr:grpSpPr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6172200" y="1104900"/>
            <a:ext cx="1653540" cy="784860"/>
          </a:xfrm>
          <a:prstGeom prst="ellipse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600" b="1"/>
              <a:t>Next Page</a:t>
            </a:r>
          </a:p>
        </xdr:txBody>
      </xdr:sp>
      <xdr:pic>
        <xdr:nvPicPr>
          <xdr:cNvPr id="6" name="Graphic 5" descr="Arrow Right with solid fill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736080" y="1394460"/>
            <a:ext cx="441960" cy="44196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304800</xdr:colOff>
      <xdr:row>3</xdr:row>
      <xdr:rowOff>137160</xdr:rowOff>
    </xdr:from>
    <xdr:to>
      <xdr:col>8</xdr:col>
      <xdr:colOff>266700</xdr:colOff>
      <xdr:row>5</xdr:row>
      <xdr:rowOff>106680</xdr:rowOff>
    </xdr:to>
    <xdr:sp macro="[0]!Refresh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389120" y="685800"/>
          <a:ext cx="1181100" cy="335280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/>
            <a:t>Refresh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1</xdr:row>
      <xdr:rowOff>0</xdr:rowOff>
    </xdr:from>
    <xdr:to>
      <xdr:col>16</xdr:col>
      <xdr:colOff>533400</xdr:colOff>
      <xdr:row>3</xdr:row>
      <xdr:rowOff>160020</xdr:rowOff>
    </xdr:to>
    <xdr:pic>
      <xdr:nvPicPr>
        <xdr:cNvPr id="2" name="Graphic 1" descr="Hou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925300" y="190500"/>
          <a:ext cx="533400" cy="533400"/>
        </a:xfrm>
        <a:prstGeom prst="rect">
          <a:avLst/>
        </a:prstGeom>
      </xdr:spPr>
    </xdr:pic>
    <xdr:clientData/>
  </xdr:twoCellAnchor>
  <xdr:twoCellAnchor>
    <xdr:from>
      <xdr:col>15</xdr:col>
      <xdr:colOff>320040</xdr:colOff>
      <xdr:row>4</xdr:row>
      <xdr:rowOff>152400</xdr:rowOff>
    </xdr:from>
    <xdr:to>
      <xdr:col>18</xdr:col>
      <xdr:colOff>15240</xdr:colOff>
      <xdr:row>9</xdr:row>
      <xdr:rowOff>0</xdr:rowOff>
    </xdr:to>
    <xdr:grpSp>
      <xdr:nvGrpSpPr>
        <xdr:cNvPr id="3" name="Group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11399520" y="899160"/>
          <a:ext cx="1524000" cy="762000"/>
          <a:chOff x="6172200" y="1104900"/>
          <a:chExt cx="1653540" cy="784860"/>
        </a:xfrm>
      </xdr:grpSpPr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>
          <a:xfrm>
            <a:off x="6172200" y="1104900"/>
            <a:ext cx="1653540" cy="784860"/>
          </a:xfrm>
          <a:prstGeom prst="ellipse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600" b="1"/>
              <a:t>Next Page</a:t>
            </a:r>
          </a:p>
        </xdr:txBody>
      </xdr:sp>
      <xdr:pic>
        <xdr:nvPicPr>
          <xdr:cNvPr id="5" name="Graphic 4" descr="Arrow Right with solid fill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736080" y="1394460"/>
            <a:ext cx="441960" cy="4419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15240</xdr:colOff>
      <xdr:row>4</xdr:row>
      <xdr:rowOff>11430</xdr:rowOff>
    </xdr:from>
    <xdr:to>
      <xdr:col>12</xdr:col>
      <xdr:colOff>586740</xdr:colOff>
      <xdr:row>18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15240</xdr:colOff>
      <xdr:row>21</xdr:row>
      <xdr:rowOff>171450</xdr:rowOff>
    </xdr:from>
    <xdr:to>
      <xdr:col>13</xdr:col>
      <xdr:colOff>22860</xdr:colOff>
      <xdr:row>36</xdr:row>
      <xdr:rowOff>163830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18</xdr:col>
      <xdr:colOff>45720</xdr:colOff>
      <xdr:row>1</xdr:row>
      <xdr:rowOff>83820</xdr:rowOff>
    </xdr:from>
    <xdr:to>
      <xdr:col>18</xdr:col>
      <xdr:colOff>579120</xdr:colOff>
      <xdr:row>4</xdr:row>
      <xdr:rowOff>68580</xdr:rowOff>
    </xdr:to>
    <xdr:pic>
      <xdr:nvPicPr>
        <xdr:cNvPr id="11" name="Graphic 10" descr="House with solid fill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854940" y="266700"/>
          <a:ext cx="533400" cy="533400"/>
        </a:xfrm>
        <a:prstGeom prst="rect">
          <a:avLst/>
        </a:prstGeom>
      </xdr:spPr>
    </xdr:pic>
    <xdr:clientData/>
  </xdr:twoCellAnchor>
  <xdr:twoCellAnchor>
    <xdr:from>
      <xdr:col>17</xdr:col>
      <xdr:colOff>297180</xdr:colOff>
      <xdr:row>4</xdr:row>
      <xdr:rowOff>137160</xdr:rowOff>
    </xdr:from>
    <xdr:to>
      <xdr:col>20</xdr:col>
      <xdr:colOff>83820</xdr:colOff>
      <xdr:row>8</xdr:row>
      <xdr:rowOff>7620</xdr:rowOff>
    </xdr:to>
    <xdr:grpSp>
      <xdr:nvGrpSpPr>
        <xdr:cNvPr id="12" name="Group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12496800" y="868680"/>
          <a:ext cx="1615440" cy="601980"/>
          <a:chOff x="6172200" y="1104900"/>
          <a:chExt cx="1653540" cy="784860"/>
        </a:xfrm>
      </xdr:grpSpPr>
      <xdr:sp macro="" textlink="">
        <xdr:nvSpPr>
          <xdr:cNvPr id="13" name="Oval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6172200" y="1104900"/>
            <a:ext cx="1653540" cy="784860"/>
          </a:xfrm>
          <a:prstGeom prst="ellipse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600" b="1"/>
              <a:t>Next Page</a:t>
            </a:r>
          </a:p>
        </xdr:txBody>
      </xdr:sp>
      <xdr:pic>
        <xdr:nvPicPr>
          <xdr:cNvPr id="14" name="Graphic 13" descr="Arrow Right with solid fill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6736080" y="1394460"/>
            <a:ext cx="441960" cy="44196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1</xdr:row>
      <xdr:rowOff>0</xdr:rowOff>
    </xdr:from>
    <xdr:to>
      <xdr:col>11</xdr:col>
      <xdr:colOff>533400</xdr:colOff>
      <xdr:row>3</xdr:row>
      <xdr:rowOff>167640</xdr:rowOff>
    </xdr:to>
    <xdr:pic>
      <xdr:nvPicPr>
        <xdr:cNvPr id="2" name="Graphic 1" descr="Hou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34300" y="182880"/>
          <a:ext cx="533400" cy="533400"/>
        </a:xfrm>
        <a:prstGeom prst="rect">
          <a:avLst/>
        </a:prstGeom>
      </xdr:spPr>
    </xdr:pic>
    <xdr:clientData/>
  </xdr:twoCellAnchor>
  <xdr:twoCellAnchor>
    <xdr:from>
      <xdr:col>10</xdr:col>
      <xdr:colOff>228600</xdr:colOff>
      <xdr:row>4</xdr:row>
      <xdr:rowOff>129540</xdr:rowOff>
    </xdr:from>
    <xdr:to>
      <xdr:col>13</xdr:col>
      <xdr:colOff>15240</xdr:colOff>
      <xdr:row>8</xdr:row>
      <xdr:rowOff>0</xdr:rowOff>
    </xdr:to>
    <xdr:grpSp>
      <xdr:nvGrpSpPr>
        <xdr:cNvPr id="3" name="Group 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7353300" y="861060"/>
          <a:ext cx="1615440" cy="601980"/>
          <a:chOff x="6172200" y="1104900"/>
          <a:chExt cx="1653540" cy="784860"/>
        </a:xfrm>
      </xdr:grpSpPr>
      <xdr:sp macro="" textlink="">
        <xdr:nvSpPr>
          <xdr:cNvPr id="4" name="Oval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/>
        </xdr:nvSpPr>
        <xdr:spPr>
          <a:xfrm>
            <a:off x="6172200" y="1104900"/>
            <a:ext cx="1653540" cy="784860"/>
          </a:xfrm>
          <a:prstGeom prst="ellipse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600" b="1"/>
              <a:t>Next Page</a:t>
            </a:r>
          </a:p>
        </xdr:txBody>
      </xdr:sp>
      <xdr:pic>
        <xdr:nvPicPr>
          <xdr:cNvPr id="5" name="Graphic 4" descr="Arrow Right with solid fill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736080" y="1394460"/>
            <a:ext cx="441960" cy="4419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541020</xdr:colOff>
      <xdr:row>0</xdr:row>
      <xdr:rowOff>45720</xdr:rowOff>
    </xdr:from>
    <xdr:to>
      <xdr:col>18</xdr:col>
      <xdr:colOff>464820</xdr:colOff>
      <xdr:row>3</xdr:row>
      <xdr:rowOff>30480</xdr:rowOff>
    </xdr:to>
    <xdr:pic>
      <xdr:nvPicPr>
        <xdr:cNvPr id="3" name="Graphic 2" descr="Hous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395960" y="45720"/>
          <a:ext cx="533400" cy="533400"/>
        </a:xfrm>
        <a:prstGeom prst="rect">
          <a:avLst/>
        </a:prstGeom>
      </xdr:spPr>
    </xdr:pic>
    <xdr:clientData/>
  </xdr:twoCellAnchor>
  <xdr:twoCellAnchor>
    <xdr:from>
      <xdr:col>2</xdr:col>
      <xdr:colOff>198120</xdr:colOff>
      <xdr:row>11</xdr:row>
      <xdr:rowOff>72391</xdr:rowOff>
    </xdr:from>
    <xdr:to>
      <xdr:col>10</xdr:col>
      <xdr:colOff>167639</xdr:colOff>
      <xdr:row>25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548640</xdr:colOff>
      <xdr:row>20</xdr:row>
      <xdr:rowOff>91440</xdr:rowOff>
    </xdr:from>
    <xdr:to>
      <xdr:col>18</xdr:col>
      <xdr:colOff>335280</xdr:colOff>
      <xdr:row>23</xdr:row>
      <xdr:rowOff>144780</xdr:rowOff>
    </xdr:to>
    <xdr:grpSp>
      <xdr:nvGrpSpPr>
        <xdr:cNvPr id="4" name="Group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12184380" y="3749040"/>
          <a:ext cx="1615440" cy="601980"/>
          <a:chOff x="6172200" y="1104900"/>
          <a:chExt cx="1653540" cy="784860"/>
        </a:xfrm>
      </xdr:grpSpPr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6172200" y="1104900"/>
            <a:ext cx="1653540" cy="784860"/>
          </a:xfrm>
          <a:prstGeom prst="ellipse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600" b="1"/>
              <a:t>Next Page</a:t>
            </a:r>
          </a:p>
        </xdr:txBody>
      </xdr:sp>
      <xdr:pic>
        <xdr:nvPicPr>
          <xdr:cNvPr id="6" name="Graphic 5" descr="Arrow Right with solid fill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736080" y="1394460"/>
            <a:ext cx="441960" cy="44196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11</xdr:row>
      <xdr:rowOff>34291</xdr:rowOff>
    </xdr:from>
    <xdr:to>
      <xdr:col>11</xdr:col>
      <xdr:colOff>205740</xdr:colOff>
      <xdr:row>23</xdr:row>
      <xdr:rowOff>45721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22860</xdr:colOff>
      <xdr:row>0</xdr:row>
      <xdr:rowOff>205740</xdr:rowOff>
    </xdr:from>
    <xdr:to>
      <xdr:col>16</xdr:col>
      <xdr:colOff>556260</xdr:colOff>
      <xdr:row>3</xdr:row>
      <xdr:rowOff>7620</xdr:rowOff>
    </xdr:to>
    <xdr:pic>
      <xdr:nvPicPr>
        <xdr:cNvPr id="3" name="Graphic 2" descr="House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098780" y="205740"/>
          <a:ext cx="533400" cy="533400"/>
        </a:xfrm>
        <a:prstGeom prst="rect">
          <a:avLst/>
        </a:prstGeom>
      </xdr:spPr>
    </xdr:pic>
    <xdr:clientData/>
  </xdr:twoCellAnchor>
  <xdr:twoCellAnchor>
    <xdr:from>
      <xdr:col>14</xdr:col>
      <xdr:colOff>0</xdr:colOff>
      <xdr:row>19</xdr:row>
      <xdr:rowOff>15240</xdr:rowOff>
    </xdr:from>
    <xdr:to>
      <xdr:col>16</xdr:col>
      <xdr:colOff>396240</xdr:colOff>
      <xdr:row>22</xdr:row>
      <xdr:rowOff>68580</xdr:rowOff>
    </xdr:to>
    <xdr:grpSp>
      <xdr:nvGrpSpPr>
        <xdr:cNvPr id="4" name="Group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11856720" y="3672840"/>
          <a:ext cx="1615440" cy="601980"/>
          <a:chOff x="6172200" y="1104900"/>
          <a:chExt cx="1653540" cy="784860"/>
        </a:xfrm>
      </xdr:grpSpPr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6172200" y="1104900"/>
            <a:ext cx="1653540" cy="784860"/>
          </a:xfrm>
          <a:prstGeom prst="ellipse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600" b="1"/>
              <a:t>Next Page</a:t>
            </a:r>
          </a:p>
        </xdr:txBody>
      </xdr:sp>
      <xdr:pic>
        <xdr:nvPicPr>
          <xdr:cNvPr id="6" name="Graphic 5" descr="Arrow Right with solid fill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736080" y="1394460"/>
            <a:ext cx="441960" cy="4419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163830</xdr:rowOff>
    </xdr:from>
    <xdr:to>
      <xdr:col>7</xdr:col>
      <xdr:colOff>342900</xdr:colOff>
      <xdr:row>25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22860</xdr:colOff>
      <xdr:row>4</xdr:row>
      <xdr:rowOff>83820</xdr:rowOff>
    </xdr:from>
    <xdr:to>
      <xdr:col>17</xdr:col>
      <xdr:colOff>556260</xdr:colOff>
      <xdr:row>7</xdr:row>
      <xdr:rowOff>68580</xdr:rowOff>
    </xdr:to>
    <xdr:pic>
      <xdr:nvPicPr>
        <xdr:cNvPr id="3" name="Graphic 2" descr="House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275820" y="83820"/>
          <a:ext cx="533400" cy="533400"/>
        </a:xfrm>
        <a:prstGeom prst="rect">
          <a:avLst/>
        </a:prstGeom>
      </xdr:spPr>
    </xdr:pic>
    <xdr:clientData/>
  </xdr:twoCellAnchor>
  <xdr:twoCellAnchor>
    <xdr:from>
      <xdr:col>16</xdr:col>
      <xdr:colOff>121920</xdr:colOff>
      <xdr:row>8</xdr:row>
      <xdr:rowOff>129540</xdr:rowOff>
    </xdr:from>
    <xdr:to>
      <xdr:col>18</xdr:col>
      <xdr:colOff>518160</xdr:colOff>
      <xdr:row>12</xdr:row>
      <xdr:rowOff>0</xdr:rowOff>
    </xdr:to>
    <xdr:grpSp>
      <xdr:nvGrpSpPr>
        <xdr:cNvPr id="4" name="Group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11765280" y="1600200"/>
          <a:ext cx="1615440" cy="609600"/>
          <a:chOff x="6172200" y="1104900"/>
          <a:chExt cx="1653540" cy="784860"/>
        </a:xfrm>
      </xdr:grpSpPr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172200" y="1104900"/>
            <a:ext cx="1653540" cy="784860"/>
          </a:xfrm>
          <a:prstGeom prst="ellipse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600" b="1"/>
              <a:t>Next Page</a:t>
            </a:r>
          </a:p>
        </xdr:txBody>
      </xdr:sp>
      <xdr:pic>
        <xdr:nvPicPr>
          <xdr:cNvPr id="6" name="Graphic 5" descr="Arrow Right with solid fill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6736080" y="1394460"/>
            <a:ext cx="441960" cy="4419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777240</xdr:colOff>
      <xdr:row>1</xdr:row>
      <xdr:rowOff>76200</xdr:rowOff>
    </xdr:from>
    <xdr:to>
      <xdr:col>5</xdr:col>
      <xdr:colOff>464820</xdr:colOff>
      <xdr:row>10</xdr:row>
      <xdr:rowOff>53340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1386840" y="259080"/>
          <a:ext cx="2346960" cy="1623060"/>
          <a:chOff x="1363980" y="358140"/>
          <a:chExt cx="2583180" cy="186690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>
            <a:off x="1363980" y="381000"/>
            <a:ext cx="2583180" cy="184404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GraphicFramePr>
            <a:graphicFrameLocks/>
          </xdr:cNvGraphicFramePr>
        </xdr:nvGraphicFramePr>
        <xdr:xfrm>
          <a:off x="1546860" y="358140"/>
          <a:ext cx="2385060" cy="1828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xdr:twoCellAnchor>
    <xdr:from>
      <xdr:col>0</xdr:col>
      <xdr:colOff>464820</xdr:colOff>
      <xdr:row>0</xdr:row>
      <xdr:rowOff>83820</xdr:rowOff>
    </xdr:from>
    <xdr:to>
      <xdr:col>1</xdr:col>
      <xdr:colOff>647700</xdr:colOff>
      <xdr:row>25</xdr:row>
      <xdr:rowOff>15240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464820" y="83820"/>
          <a:ext cx="792480" cy="4663440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accent6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586740</xdr:colOff>
      <xdr:row>20</xdr:row>
      <xdr:rowOff>137160</xdr:rowOff>
    </xdr:from>
    <xdr:to>
      <xdr:col>1</xdr:col>
      <xdr:colOff>510540</xdr:colOff>
      <xdr:row>23</xdr:row>
      <xdr:rowOff>121920</xdr:rowOff>
    </xdr:to>
    <xdr:pic>
      <xdr:nvPicPr>
        <xdr:cNvPr id="6" name="Graphic 5" descr="House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6740" y="3810000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571500</xdr:colOff>
      <xdr:row>0</xdr:row>
      <xdr:rowOff>167642</xdr:rowOff>
    </xdr:from>
    <xdr:to>
      <xdr:col>1</xdr:col>
      <xdr:colOff>566098</xdr:colOff>
      <xdr:row>3</xdr:row>
      <xdr:rowOff>167640</xdr:rowOff>
    </xdr:to>
    <xdr:pic>
      <xdr:nvPicPr>
        <xdr:cNvPr id="8" name="Picture 7" descr="ITC Limited - Wikipedia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2688"/>
        <a:stretch/>
      </xdr:blipFill>
      <xdr:spPr bwMode="auto">
        <a:xfrm>
          <a:off x="571500" y="167642"/>
          <a:ext cx="604198" cy="5486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38100</xdr:colOff>
      <xdr:row>1</xdr:row>
      <xdr:rowOff>99060</xdr:rowOff>
    </xdr:from>
    <xdr:to>
      <xdr:col>9</xdr:col>
      <xdr:colOff>563880</xdr:colOff>
      <xdr:row>10</xdr:row>
      <xdr:rowOff>68580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3916680" y="281940"/>
          <a:ext cx="2301240" cy="1615440"/>
          <a:chOff x="4030980" y="274320"/>
          <a:chExt cx="2354580" cy="1615440"/>
        </a:xfrm>
      </xdr:grpSpPr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SpPr/>
        </xdr:nvSpPr>
        <xdr:spPr>
          <a:xfrm>
            <a:off x="4030980" y="274320"/>
            <a:ext cx="2354580" cy="1615440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GraphicFramePr>
            <a:graphicFrameLocks/>
          </xdr:cNvGraphicFramePr>
        </xdr:nvGraphicFramePr>
        <xdr:xfrm>
          <a:off x="4130040" y="297180"/>
          <a:ext cx="2118360" cy="14859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784860</xdr:colOff>
      <xdr:row>14</xdr:row>
      <xdr:rowOff>27494</xdr:rowOff>
    </xdr:from>
    <xdr:to>
      <xdr:col>5</xdr:col>
      <xdr:colOff>472440</xdr:colOff>
      <xdr:row>22</xdr:row>
      <xdr:rowOff>167640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1394460" y="2603054"/>
          <a:ext cx="2346960" cy="160318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38100</xdr:colOff>
      <xdr:row>14</xdr:row>
      <xdr:rowOff>27494</xdr:rowOff>
    </xdr:from>
    <xdr:to>
      <xdr:col>9</xdr:col>
      <xdr:colOff>556260</xdr:colOff>
      <xdr:row>22</xdr:row>
      <xdr:rowOff>167640</xdr:rowOff>
    </xdr:to>
    <xdr:sp macro="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/>
      </xdr:nvSpPr>
      <xdr:spPr>
        <a:xfrm>
          <a:off x="3916680" y="2603054"/>
          <a:ext cx="2346960" cy="160318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190500</xdr:colOff>
      <xdr:row>14</xdr:row>
      <xdr:rowOff>91440</xdr:rowOff>
    </xdr:from>
    <xdr:to>
      <xdr:col>9</xdr:col>
      <xdr:colOff>426720</xdr:colOff>
      <xdr:row>22</xdr:row>
      <xdr:rowOff>121920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60960</xdr:colOff>
      <xdr:row>14</xdr:row>
      <xdr:rowOff>76200</xdr:rowOff>
    </xdr:from>
    <xdr:to>
      <xdr:col>5</xdr:col>
      <xdr:colOff>426720</xdr:colOff>
      <xdr:row>22</xdr:row>
      <xdr:rowOff>129540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167640</xdr:colOff>
      <xdr:row>0</xdr:row>
      <xdr:rowOff>121920</xdr:rowOff>
    </xdr:from>
    <xdr:to>
      <xdr:col>16</xdr:col>
      <xdr:colOff>121920</xdr:colOff>
      <xdr:row>11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8" name="Chart 27">
              <a:extLst>
                <a:ext uri="{FF2B5EF4-FFF2-40B4-BE49-F238E27FC236}">
                  <a16:creationId xmlns:a16="http://schemas.microsoft.com/office/drawing/2014/main" id="{00000000-0008-0000-0A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9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1280" y="121920"/>
              <a:ext cx="3611880" cy="19278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124795</xdr:colOff>
      <xdr:row>12</xdr:row>
      <xdr:rowOff>7620</xdr:rowOff>
    </xdr:from>
    <xdr:to>
      <xdr:col>16</xdr:col>
      <xdr:colOff>140612</xdr:colOff>
      <xdr:row>25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6388435" y="2217420"/>
          <a:ext cx="3673417" cy="2598420"/>
          <a:chOff x="6441775" y="2217420"/>
          <a:chExt cx="3673417" cy="2514600"/>
        </a:xfrm>
      </xdr:grpSpPr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A00-000021000000}"/>
              </a:ext>
            </a:extLst>
          </xdr:cNvPr>
          <xdr:cNvSpPr/>
        </xdr:nvSpPr>
        <xdr:spPr>
          <a:xfrm>
            <a:off x="6441775" y="2232609"/>
            <a:ext cx="3647105" cy="2499411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mc:AlternateContent xmlns:mc="http://schemas.openxmlformats.org/markup-compatibility/2006">
        <mc:Choice xmlns:cx1="http://schemas.microsoft.com/office/drawing/2015/9/8/chartex" Requires="cx1">
          <xdr:graphicFrame macro="">
            <xdr:nvGraphicFramePr>
              <xdr:cNvPr id="29" name="Chart 28">
                <a:extLst>
                  <a:ext uri="{FF2B5EF4-FFF2-40B4-BE49-F238E27FC236}">
                    <a16:creationId xmlns:a16="http://schemas.microsoft.com/office/drawing/2014/main" id="{00000000-0008-0000-0A00-00001D000000}"/>
                  </a:ext>
                </a:extLst>
              </xdr:cNvPr>
              <xdr:cNvGraphicFramePr/>
            </xdr:nvGraphicFramePr>
            <xdr:xfrm>
              <a:off x="6492240" y="2217420"/>
              <a:ext cx="3622952" cy="2442475"/>
            </xdr:xfrm>
            <a:graphic>
              <a:graphicData uri="http://schemas.microsoft.com/office/drawing/2014/chartex">
                <cx:chart xmlns:cx="http://schemas.microsoft.com/office/drawing/2014/chartex" xmlns:r="http://schemas.openxmlformats.org/officeDocument/2006/relationships" r:id="rId10"/>
              </a:graphicData>
            </a:graphic>
          </xdr:graphicFrame>
        </mc:Choice>
        <mc:Fallback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6492240" y="2217420"/>
                <a:ext cx="3622952" cy="24424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n-IN" sz="1100"/>
                  <a:t>This chart isn't available in your version of Excel.
Editing this shape or saving this workbook into a different file format will permanently break the chart.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0</xdr:col>
      <xdr:colOff>548640</xdr:colOff>
      <xdr:row>8</xdr:row>
      <xdr:rowOff>175260</xdr:rowOff>
    </xdr:from>
    <xdr:to>
      <xdr:col>1</xdr:col>
      <xdr:colOff>609600</xdr:colOff>
      <xdr:row>12</xdr:row>
      <xdr:rowOff>99060</xdr:rowOff>
    </xdr:to>
    <xdr:pic>
      <xdr:nvPicPr>
        <xdr:cNvPr id="36" name="Graphic 35" descr="Table outline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548640" y="1638300"/>
          <a:ext cx="670560" cy="670560"/>
        </a:xfrm>
        <a:prstGeom prst="rect">
          <a:avLst/>
        </a:prstGeom>
      </xdr:spPr>
    </xdr:pic>
    <xdr:clientData/>
  </xdr:twoCellAnchor>
  <xdr:twoCellAnchor editAs="oneCell">
    <xdr:from>
      <xdr:col>0</xdr:col>
      <xdr:colOff>556260</xdr:colOff>
      <xdr:row>14</xdr:row>
      <xdr:rowOff>30480</xdr:rowOff>
    </xdr:from>
    <xdr:to>
      <xdr:col>1</xdr:col>
      <xdr:colOff>578580</xdr:colOff>
      <xdr:row>17</xdr:row>
      <xdr:rowOff>38100</xdr:rowOff>
    </xdr:to>
    <xdr:pic>
      <xdr:nvPicPr>
        <xdr:cNvPr id="37" name="Graphic 36" descr="Presentation with pie chart with solid fill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556260" y="2606040"/>
          <a:ext cx="631920" cy="640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541020</xdr:colOff>
          <xdr:row>4</xdr:row>
          <xdr:rowOff>160020</xdr:rowOff>
        </xdr:from>
        <xdr:to>
          <xdr:col>1</xdr:col>
          <xdr:colOff>624840</xdr:colOff>
          <xdr:row>6</xdr:row>
          <xdr:rowOff>60960</xdr:rowOff>
        </xdr:to>
        <xdr:sp macro="" textlink="">
          <xdr:nvSpPr>
            <xdr:cNvPr id="12289" name="Drop Dow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274321</xdr:colOff>
      <xdr:row>0</xdr:row>
      <xdr:rowOff>114249</xdr:rowOff>
    </xdr:from>
    <xdr:to>
      <xdr:col>21</xdr:col>
      <xdr:colOff>281940</xdr:colOff>
      <xdr:row>10</xdr:row>
      <xdr:rowOff>114300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pSpPr/>
      </xdr:nvGrpSpPr>
      <xdr:grpSpPr>
        <a:xfrm>
          <a:off x="10195561" y="114249"/>
          <a:ext cx="3017519" cy="1828851"/>
          <a:chOff x="10248901" y="114249"/>
          <a:chExt cx="3063240" cy="1927911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10248901" y="114249"/>
            <a:ext cx="3063240" cy="1882191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00000000-0008-0000-0A00-000002000000}"/>
              </a:ext>
            </a:extLst>
          </xdr:cNvPr>
          <xdr:cNvGraphicFramePr>
            <a:graphicFrameLocks/>
          </xdr:cNvGraphicFramePr>
        </xdr:nvGraphicFramePr>
        <xdr:xfrm>
          <a:off x="10447020" y="121920"/>
          <a:ext cx="2811780" cy="1920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</xdr:grpSp>
    <xdr:clientData/>
  </xdr:twoCellAnchor>
  <xdr:twoCellAnchor>
    <xdr:from>
      <xdr:col>16</xdr:col>
      <xdr:colOff>365760</xdr:colOff>
      <xdr:row>15</xdr:row>
      <xdr:rowOff>99009</xdr:rowOff>
    </xdr:from>
    <xdr:to>
      <xdr:col>20</xdr:col>
      <xdr:colOff>175260</xdr:colOff>
      <xdr:row>24</xdr:row>
      <xdr:rowOff>320040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pSpPr/>
      </xdr:nvGrpSpPr>
      <xdr:grpSpPr>
        <a:xfrm>
          <a:off x="10287000" y="2857449"/>
          <a:ext cx="1851660" cy="1950771"/>
          <a:chOff x="11689080" y="2834589"/>
          <a:chExt cx="1744980" cy="1882191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SpPr/>
        </xdr:nvSpPr>
        <xdr:spPr>
          <a:xfrm>
            <a:off x="11833861" y="2834589"/>
            <a:ext cx="1341120" cy="1882191"/>
          </a:xfrm>
          <a:prstGeom prst="roundRect">
            <a:avLst/>
          </a:prstGeom>
          <a:solidFill>
            <a:schemeClr val="bg1"/>
          </a:solidFill>
          <a:ln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 prst="artDeco"/>
            <a:contourClr>
              <a:srgbClr val="FFFFFF"/>
            </a:contourClr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graphicFrame macro="">
        <xdr:nvGraphicFramePr>
          <xdr:cNvPr id="12" name="Chart 11">
            <a:extLst>
              <a:ext uri="{FF2B5EF4-FFF2-40B4-BE49-F238E27FC236}">
                <a16:creationId xmlns:a16="http://schemas.microsoft.com/office/drawing/2014/main" id="{00000000-0008-0000-0A00-00000C000000}"/>
              </a:ext>
            </a:extLst>
          </xdr:cNvPr>
          <xdr:cNvGraphicFramePr>
            <a:graphicFrameLocks/>
          </xdr:cNvGraphicFramePr>
        </xdr:nvGraphicFramePr>
        <xdr:xfrm>
          <a:off x="11689080" y="2915511"/>
          <a:ext cx="1744980" cy="177078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</xdr:grpSp>
    <xdr:clientData/>
  </xdr:twoCellAnchor>
  <xdr:twoCellAnchor>
    <xdr:from>
      <xdr:col>3</xdr:col>
      <xdr:colOff>266700</xdr:colOff>
      <xdr:row>5</xdr:row>
      <xdr:rowOff>7620</xdr:rowOff>
    </xdr:from>
    <xdr:to>
      <xdr:col>4</xdr:col>
      <xdr:colOff>228600</xdr:colOff>
      <xdr:row>6</xdr:row>
      <xdr:rowOff>45720</xdr:rowOff>
    </xdr:to>
    <xdr:sp macro="" textlink="Workings!C31">
      <xdr:nvSpPr>
        <xdr:cNvPr id="17" name="TextBox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 txBox="1"/>
      </xdr:nvSpPr>
      <xdr:spPr>
        <a:xfrm>
          <a:off x="2316480" y="922020"/>
          <a:ext cx="571500" cy="2209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8B09977-2673-4C30-B84E-437D92FF4ABC}" type="TxLink">
            <a:rPr lang="en-US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3.89%</a:t>
          </a:fld>
          <a:endParaRPr lang="en-IN" sz="1200" b="1"/>
        </a:p>
      </xdr:txBody>
    </xdr:sp>
    <xdr:clientData/>
  </xdr:twoCellAnchor>
  <xdr:twoCellAnchor>
    <xdr:from>
      <xdr:col>7</xdr:col>
      <xdr:colOff>312420</xdr:colOff>
      <xdr:row>5</xdr:row>
      <xdr:rowOff>7620</xdr:rowOff>
    </xdr:from>
    <xdr:to>
      <xdr:col>8</xdr:col>
      <xdr:colOff>350520</xdr:colOff>
      <xdr:row>6</xdr:row>
      <xdr:rowOff>114300</xdr:rowOff>
    </xdr:to>
    <xdr:sp macro="" textlink="Workings!C32">
      <xdr:nvSpPr>
        <xdr:cNvPr id="21" name="TextBox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 txBox="1"/>
      </xdr:nvSpPr>
      <xdr:spPr>
        <a:xfrm>
          <a:off x="4747260" y="922020"/>
          <a:ext cx="647700" cy="289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623BCF6-B19D-48F2-A621-3F8AC2EA153F}" type="TxLink">
            <a:rPr lang="en-US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28.39%</a:t>
          </a:fld>
          <a:endParaRPr lang="en-IN" sz="1400" b="1"/>
        </a:p>
      </xdr:txBody>
    </xdr:sp>
    <xdr:clientData/>
  </xdr:twoCellAnchor>
  <xdr:twoCellAnchor>
    <xdr:from>
      <xdr:col>3</xdr:col>
      <xdr:colOff>198120</xdr:colOff>
      <xdr:row>17</xdr:row>
      <xdr:rowOff>137160</xdr:rowOff>
    </xdr:from>
    <xdr:to>
      <xdr:col>4</xdr:col>
      <xdr:colOff>236220</xdr:colOff>
      <xdr:row>19</xdr:row>
      <xdr:rowOff>60960</xdr:rowOff>
    </xdr:to>
    <xdr:sp macro="" textlink="Workings!C33">
      <xdr:nvSpPr>
        <xdr:cNvPr id="23" name="TextBox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2247900" y="3345180"/>
          <a:ext cx="647700" cy="289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1048BFB-D9C6-47CF-9CA3-7F4359681F5F}" type="TxLink">
            <a:rPr lang="en-US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22.79%</a:t>
          </a:fld>
          <a:endParaRPr lang="en-IN" sz="1600" b="1"/>
        </a:p>
      </xdr:txBody>
    </xdr:sp>
    <xdr:clientData/>
  </xdr:twoCellAnchor>
  <xdr:twoCellAnchor>
    <xdr:from>
      <xdr:col>0</xdr:col>
      <xdr:colOff>0</xdr:colOff>
      <xdr:row>30</xdr:row>
      <xdr:rowOff>38100</xdr:rowOff>
    </xdr:from>
    <xdr:to>
      <xdr:col>0</xdr:col>
      <xdr:colOff>396240</xdr:colOff>
      <xdr:row>31</xdr:row>
      <xdr:rowOff>144780</xdr:rowOff>
    </xdr:to>
    <xdr:sp macro="" textlink="Workings!C33">
      <xdr:nvSpPr>
        <xdr:cNvPr id="27" name="TextBox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0" y="5768340"/>
          <a:ext cx="396240" cy="289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1048BFB-D9C6-47CF-9CA3-7F4359681F5F}" type="TxLink">
            <a:rPr lang="en-US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22.79%</a:t>
          </a:fld>
          <a:endParaRPr lang="en-IN" sz="1600" b="1"/>
        </a:p>
      </xdr:txBody>
    </xdr:sp>
    <xdr:clientData/>
  </xdr:twoCellAnchor>
  <xdr:twoCellAnchor>
    <xdr:from>
      <xdr:col>7</xdr:col>
      <xdr:colOff>327660</xdr:colOff>
      <xdr:row>17</xdr:row>
      <xdr:rowOff>121920</xdr:rowOff>
    </xdr:from>
    <xdr:to>
      <xdr:col>8</xdr:col>
      <xdr:colOff>365760</xdr:colOff>
      <xdr:row>19</xdr:row>
      <xdr:rowOff>45720</xdr:rowOff>
    </xdr:to>
    <xdr:sp macro="" textlink="Workings!C34">
      <xdr:nvSpPr>
        <xdr:cNvPr id="30" name="TextBox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 txBox="1"/>
      </xdr:nvSpPr>
      <xdr:spPr>
        <a:xfrm>
          <a:off x="4762500" y="3329940"/>
          <a:ext cx="647700" cy="2895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2DEF088-06A4-433C-9462-7D2AFA2C24DA}" type="TxLink">
            <a:rPr lang="en-US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1.98</a:t>
          </a:fld>
          <a:endParaRPr lang="en-IN" sz="1800" b="1"/>
        </a:p>
      </xdr:txBody>
    </xdr:sp>
    <xdr:clientData/>
  </xdr:twoCellAnchor>
  <xdr:twoCellAnchor>
    <xdr:from>
      <xdr:col>20</xdr:col>
      <xdr:colOff>15240</xdr:colOff>
      <xdr:row>17</xdr:row>
      <xdr:rowOff>15240</xdr:rowOff>
    </xdr:from>
    <xdr:to>
      <xdr:col>21</xdr:col>
      <xdr:colOff>358140</xdr:colOff>
      <xdr:row>22</xdr:row>
      <xdr:rowOff>45720</xdr:rowOff>
    </xdr:to>
    <xdr:sp macro="" textlink="Workings!C37">
      <xdr:nvSpPr>
        <xdr:cNvPr id="31" name="Oval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1993880" y="3223260"/>
          <a:ext cx="1310640" cy="944880"/>
        </a:xfrm>
        <a:prstGeom prst="ellipse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E104604-EB74-4E37-8464-EE960E062D7B}" type="TxLink">
            <a:rPr lang="en-US" sz="18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17.08%</a:t>
          </a:fld>
          <a:endParaRPr lang="en-IN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579120</xdr:colOff>
          <xdr:row>22</xdr:row>
          <xdr:rowOff>7620</xdr:rowOff>
        </xdr:from>
        <xdr:to>
          <xdr:col>6</xdr:col>
          <xdr:colOff>30480</xdr:colOff>
          <xdr:row>23</xdr:row>
          <xdr:rowOff>30480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B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8070329-833F-43C4-97F6-B37F197FE814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EB2716D-2D29-4FFD-91FA-27508232E4FF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DC6885-69FE-4EC1-928C-5B98B6813090}" name="Table_3" displayName="Table_3" ref="E2:F9" tableType="queryTable" totalsRowShown="0">
  <autoFilter ref="E2:F9" xr:uid="{E0DC6885-69FE-4EC1-928C-5B98B6813090}"/>
  <tableColumns count="2">
    <tableColumn id="1" xr3:uid="{EF8AA28B-251B-47A8-A87C-7EC8FE422A94}" uniqueName="1" name="Column1" queryTableFieldId="1" dataDxfId="1"/>
    <tableColumn id="2" xr3:uid="{3CB6929C-768B-497C-8968-D72798EA4597}" uniqueName="2" name="Column2" queryTableFieldId="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22C466-68AC-44C6-BC1D-6372BAD2BDC2}" name="Table_2__24" displayName="Table_2__24" ref="B2:C9" tableType="queryTable" totalsRowShown="0">
  <autoFilter ref="B2:C9" xr:uid="{2522C466-68AC-44C6-BC1D-6372BAD2BDC2}"/>
  <tableColumns count="2">
    <tableColumn id="1" xr3:uid="{96B26259-7C9B-48AD-A9EA-4096CD715788}" uniqueName="1" name="Column1" queryTableFieldId="1" dataDxfId="3"/>
    <tableColumn id="2" xr3:uid="{008D1D8B-2865-438D-918E-CFDD06CE043C}" uniqueName="2" name="Column2" queryTableFieldId="2" dataDxf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7AAD09-CAA4-4091-8284-1FBA2DF053D5}" name="Table1" displayName="Table1" ref="A1:E11" totalsRowShown="0">
  <autoFilter ref="A1:E11" xr:uid="{E57AAD09-CAA4-4091-8284-1FBA2DF053D5}"/>
  <tableColumns count="5">
    <tableColumn id="1" xr3:uid="{D21AF0E3-39E8-4FA9-9C19-67E4EBD39932}" name="Timeline"/>
    <tableColumn id="2" xr3:uid="{7645076E-C245-4E12-AD4F-BE3AA5091726}" name="Values"/>
    <tableColumn id="3" xr3:uid="{5194BD20-FABA-49BB-B28E-8424A92BAF69}" name="Forecast" dataDxfId="10">
      <calculatedColumnFormula>_xlfn.FORECAST.ETS(A2,$B$2:$B$6,$A$2:$A$6,1,1)</calculatedColumnFormula>
    </tableColumn>
    <tableColumn id="4" xr3:uid="{6CACEF7A-C723-4D2C-AA90-8D0866BBB08D}" name="Lower Confidence Bound" dataDxfId="9">
      <calculatedColumnFormula>C2-_xlfn.FORECAST.ETS.CONFINT(A2,$B$2:$B$6,$A$2:$A$6,0.95,1,1)</calculatedColumnFormula>
    </tableColumn>
    <tableColumn id="5" xr3:uid="{5B526FCB-2AA0-462D-B85D-DEF6D744578E}" name="Upper Confidence Bound" dataDxfId="8">
      <calculatedColumnFormula>C2+_xlfn.FORECAST.ETS.CONFINT(A2,$B$2:$B$6,$A$2:$A$6,0.95,1,1)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9635B0-5184-44B0-AF32-417A39656C75}" name="Table4" displayName="Table4" ref="A1:E11" totalsRowShown="0" headerRowDxfId="7">
  <autoFilter ref="A1:E11" xr:uid="{699635B0-5184-44B0-AF32-417A39656C75}"/>
  <tableColumns count="5">
    <tableColumn id="1" xr3:uid="{09CEE45F-0867-4B35-A3E2-ECE82BDD5DA5}" name="Year"/>
    <tableColumn id="2" xr3:uid="{91530D08-FC77-4BE7-A8B1-D1E30C37057C}" name="Net Profit"/>
    <tableColumn id="3" xr3:uid="{D5D397D5-6382-4AD6-8C5B-C63A95DAF344}" name="Forecast(Net Profit)" dataDxfId="6">
      <calculatedColumnFormula>_xlfn.FORECAST.ETS(A2,$B$2:$B$6,$A$2:$A$6,1,1)</calculatedColumnFormula>
    </tableColumn>
    <tableColumn id="4" xr3:uid="{766CEF09-F89C-4AA2-9B7D-910BE459BC6B}" name="Lower Confidence Bound(Net Profit)" dataDxfId="5">
      <calculatedColumnFormula>C2-_xlfn.FORECAST.ETS.CONFINT(A2,$B$2:$B$6,$A$2:$A$6,0.95,1,1)</calculatedColumnFormula>
    </tableColumn>
    <tableColumn id="5" xr3:uid="{C3A941E2-EEE0-4E43-979E-25089E63F66C}" name="Upper Confidence Bound(Net Profit)" dataDxfId="4">
      <calculatedColumnFormula>C2+_xlfn.FORECAST.ETS.CONFINT(A2,$B$2:$B$6,$A$2:$A$6,0.95,1,1)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hyperlink" Target="https://www.moneycontrol.com/india/stockpricequote/diversified/itc/ITC" TargetMode="Externa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F259F-398F-41FF-83FA-A3223FAEB077}">
  <sheetPr codeName="Sheet4"/>
  <dimension ref="A5:A6"/>
  <sheetViews>
    <sheetView showGridLines="0" workbookViewId="0"/>
  </sheetViews>
  <sheetFormatPr defaultRowHeight="14.4" x14ac:dyDescent="0.3"/>
  <cols>
    <col min="1" max="1" width="6" customWidth="1"/>
    <col min="2" max="2" width="2.109375" customWidth="1"/>
  </cols>
  <sheetData>
    <row r="5" ht="14.4" customHeight="1" x14ac:dyDescent="0.3"/>
    <row r="6" ht="14.4" customHeight="1" x14ac:dyDescent="0.3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CF5B2-39A9-40E8-8312-D1CEA4CFA8F6}">
  <sheetPr codeName="Sheet1"/>
  <dimension ref="B1:H68"/>
  <sheetViews>
    <sheetView showGridLines="0" workbookViewId="0">
      <selection activeCell="L16" sqref="L16"/>
    </sheetView>
  </sheetViews>
  <sheetFormatPr defaultRowHeight="14.4" x14ac:dyDescent="0.3"/>
  <cols>
    <col min="1" max="1" width="5.109375" customWidth="1"/>
    <col min="2" max="2" width="35.44140625" customWidth="1"/>
    <col min="3" max="3" width="13.33203125" customWidth="1"/>
    <col min="4" max="4" width="14.44140625" customWidth="1"/>
    <col min="5" max="5" width="14" customWidth="1"/>
    <col min="6" max="6" width="15.77734375" customWidth="1"/>
    <col min="7" max="7" width="18.5546875" customWidth="1"/>
  </cols>
  <sheetData>
    <row r="1" spans="2:8" ht="7.8" customHeight="1" thickBot="1" x14ac:dyDescent="0.35"/>
    <row r="2" spans="2:8" ht="16.2" thickBot="1" x14ac:dyDescent="0.35">
      <c r="B2" s="109" t="s">
        <v>161</v>
      </c>
      <c r="C2" s="110"/>
      <c r="D2" s="110"/>
      <c r="E2" s="110"/>
      <c r="F2" s="110"/>
      <c r="G2" s="111"/>
      <c r="H2" s="5"/>
    </row>
    <row r="3" spans="2:8" s="4" customFormat="1" x14ac:dyDescent="0.3">
      <c r="B3" s="56"/>
      <c r="C3" s="55">
        <v>44986</v>
      </c>
      <c r="D3" s="55">
        <v>44621</v>
      </c>
      <c r="E3" s="55">
        <v>44256</v>
      </c>
      <c r="F3" s="55">
        <v>43891</v>
      </c>
      <c r="G3" s="57">
        <v>43525</v>
      </c>
      <c r="H3" s="6"/>
    </row>
    <row r="4" spans="2:8" s="4" customFormat="1" x14ac:dyDescent="0.3">
      <c r="B4" s="58"/>
      <c r="C4" s="3" t="s">
        <v>0</v>
      </c>
      <c r="D4" s="3" t="s">
        <v>0</v>
      </c>
      <c r="E4" s="3" t="s">
        <v>0</v>
      </c>
      <c r="F4" s="3" t="s">
        <v>0</v>
      </c>
      <c r="G4" s="59" t="s">
        <v>0</v>
      </c>
      <c r="H4" s="6"/>
    </row>
    <row r="5" spans="2:8" x14ac:dyDescent="0.3">
      <c r="B5" s="58" t="s">
        <v>1</v>
      </c>
      <c r="C5" s="1"/>
      <c r="D5" s="1"/>
      <c r="E5" s="1"/>
      <c r="F5" s="1"/>
      <c r="G5" s="61"/>
      <c r="H5" s="7"/>
    </row>
    <row r="6" spans="2:8" x14ac:dyDescent="0.3">
      <c r="B6" s="58" t="s">
        <v>2</v>
      </c>
      <c r="C6" s="1"/>
      <c r="D6" s="1"/>
      <c r="E6" s="1"/>
      <c r="F6" s="1"/>
      <c r="G6" s="61"/>
      <c r="H6" s="7"/>
    </row>
    <row r="7" spans="2:8" x14ac:dyDescent="0.3">
      <c r="B7" s="60" t="s">
        <v>3</v>
      </c>
      <c r="C7" s="2">
        <v>1242.8</v>
      </c>
      <c r="D7" s="2">
        <v>1232.33</v>
      </c>
      <c r="E7" s="2">
        <v>1230.8800000000001</v>
      </c>
      <c r="F7" s="2">
        <v>1229.22</v>
      </c>
      <c r="G7" s="62">
        <v>1225.8599999999999</v>
      </c>
      <c r="H7" s="7"/>
    </row>
    <row r="8" spans="2:8" x14ac:dyDescent="0.3">
      <c r="B8" s="60" t="s">
        <v>4</v>
      </c>
      <c r="C8" s="2">
        <v>1242.8</v>
      </c>
      <c r="D8" s="2">
        <v>1232.33</v>
      </c>
      <c r="E8" s="2">
        <v>1230.8800000000001</v>
      </c>
      <c r="F8" s="2">
        <v>1229.22</v>
      </c>
      <c r="G8" s="62">
        <v>1225.8599999999999</v>
      </c>
      <c r="H8" s="7"/>
    </row>
    <row r="9" spans="2:8" x14ac:dyDescent="0.3">
      <c r="B9" s="60" t="s">
        <v>5</v>
      </c>
      <c r="C9" s="2">
        <v>65609.55</v>
      </c>
      <c r="D9" s="2">
        <v>58850.91</v>
      </c>
      <c r="E9" s="2">
        <v>56067.22</v>
      </c>
      <c r="F9" s="2">
        <v>60777.760000000002</v>
      </c>
      <c r="G9" s="62">
        <v>54725.99</v>
      </c>
      <c r="H9" s="7"/>
    </row>
    <row r="10" spans="2:8" ht="26.4" x14ac:dyDescent="0.3">
      <c r="B10" s="60" t="s">
        <v>6</v>
      </c>
      <c r="C10" s="2">
        <v>65609.55</v>
      </c>
      <c r="D10" s="2">
        <v>58850.91</v>
      </c>
      <c r="E10" s="2">
        <v>56067.22</v>
      </c>
      <c r="F10" s="2">
        <v>60777.760000000002</v>
      </c>
      <c r="G10" s="62">
        <v>54725.99</v>
      </c>
      <c r="H10" s="7"/>
    </row>
    <row r="11" spans="2:8" ht="26.4" x14ac:dyDescent="0.3">
      <c r="B11" s="58" t="s">
        <v>7</v>
      </c>
      <c r="C11" s="2">
        <v>67593.8</v>
      </c>
      <c r="D11" s="2">
        <v>61399.57</v>
      </c>
      <c r="E11" s="2">
        <v>59004.62</v>
      </c>
      <c r="F11" s="2">
        <v>64029.16</v>
      </c>
      <c r="G11" s="62">
        <v>57949.79</v>
      </c>
      <c r="H11" s="7"/>
    </row>
    <row r="12" spans="2:8" x14ac:dyDescent="0.3">
      <c r="B12" s="58" t="s">
        <v>8</v>
      </c>
      <c r="C12" s="1"/>
      <c r="D12" s="1"/>
      <c r="E12" s="1"/>
      <c r="F12" s="1"/>
      <c r="G12" s="61"/>
      <c r="H12" s="7"/>
    </row>
    <row r="13" spans="2:8" x14ac:dyDescent="0.3">
      <c r="B13" s="60" t="s">
        <v>9</v>
      </c>
      <c r="C13" s="1">
        <v>3.28</v>
      </c>
      <c r="D13" s="1">
        <v>4.54</v>
      </c>
      <c r="E13" s="1">
        <v>5.28</v>
      </c>
      <c r="F13" s="1">
        <v>5.63</v>
      </c>
      <c r="G13" s="61">
        <v>7.89</v>
      </c>
      <c r="H13" s="7"/>
    </row>
    <row r="14" spans="2:8" x14ac:dyDescent="0.3">
      <c r="B14" s="60" t="s">
        <v>10</v>
      </c>
      <c r="C14" s="2">
        <v>1621.13</v>
      </c>
      <c r="D14" s="2">
        <v>1667.14</v>
      </c>
      <c r="E14" s="2">
        <v>1727.73</v>
      </c>
      <c r="F14" s="2">
        <v>1617.65</v>
      </c>
      <c r="G14" s="62">
        <v>2044.14</v>
      </c>
      <c r="H14" s="7"/>
    </row>
    <row r="15" spans="2:8" x14ac:dyDescent="0.3">
      <c r="B15" s="60" t="s">
        <v>11</v>
      </c>
      <c r="C15" s="1">
        <v>426.08</v>
      </c>
      <c r="D15" s="1">
        <v>356.29</v>
      </c>
      <c r="E15" s="1">
        <v>511.71</v>
      </c>
      <c r="F15" s="1">
        <v>349.72</v>
      </c>
      <c r="G15" s="61">
        <v>41.9</v>
      </c>
      <c r="H15" s="7"/>
    </row>
    <row r="16" spans="2:8" x14ac:dyDescent="0.3">
      <c r="B16" s="60" t="s">
        <v>12</v>
      </c>
      <c r="C16" s="1">
        <v>201.83</v>
      </c>
      <c r="D16" s="1">
        <v>186.87</v>
      </c>
      <c r="E16" s="1">
        <v>157.07</v>
      </c>
      <c r="F16" s="1">
        <v>143.79</v>
      </c>
      <c r="G16" s="61">
        <v>132.63999999999999</v>
      </c>
      <c r="H16" s="7"/>
    </row>
    <row r="17" spans="2:8" x14ac:dyDescent="0.3">
      <c r="B17" s="58" t="s">
        <v>13</v>
      </c>
      <c r="C17" s="81">
        <v>2252.3200000000002</v>
      </c>
      <c r="D17" s="81">
        <v>2214.84</v>
      </c>
      <c r="E17" s="81">
        <v>2401.79</v>
      </c>
      <c r="F17" s="81">
        <v>2116.79</v>
      </c>
      <c r="G17" s="82">
        <v>2226.5700000000002</v>
      </c>
      <c r="H17" s="7"/>
    </row>
    <row r="18" spans="2:8" x14ac:dyDescent="0.3">
      <c r="B18" s="58" t="s">
        <v>14</v>
      </c>
      <c r="C18" s="1"/>
      <c r="D18" s="1"/>
      <c r="E18" s="1"/>
      <c r="F18" s="1"/>
      <c r="G18" s="61"/>
      <c r="H18" s="7"/>
    </row>
    <row r="19" spans="2:8" x14ac:dyDescent="0.3">
      <c r="B19" s="60" t="s">
        <v>15</v>
      </c>
      <c r="C19" s="1">
        <v>1.26</v>
      </c>
      <c r="D19" s="1">
        <v>0.74</v>
      </c>
      <c r="E19" s="1">
        <v>0.35</v>
      </c>
      <c r="F19" s="1">
        <v>0</v>
      </c>
      <c r="G19" s="61">
        <v>0</v>
      </c>
      <c r="H19" s="7"/>
    </row>
    <row r="20" spans="2:8" x14ac:dyDescent="0.3">
      <c r="B20" s="60" t="s">
        <v>16</v>
      </c>
      <c r="C20" s="2">
        <v>4351.26</v>
      </c>
      <c r="D20" s="2">
        <v>4223.3999999999996</v>
      </c>
      <c r="E20" s="2">
        <v>4119.3100000000004</v>
      </c>
      <c r="F20" s="2">
        <v>3446.74</v>
      </c>
      <c r="G20" s="62">
        <v>3368.28</v>
      </c>
      <c r="H20" s="7"/>
    </row>
    <row r="21" spans="2:8" x14ac:dyDescent="0.3">
      <c r="B21" s="60" t="s">
        <v>17</v>
      </c>
      <c r="C21" s="2">
        <v>7999.51</v>
      </c>
      <c r="D21" s="2">
        <v>7198.35</v>
      </c>
      <c r="E21" s="2">
        <v>5885.24</v>
      </c>
      <c r="F21" s="2">
        <v>5524.73</v>
      </c>
      <c r="G21" s="62">
        <v>6228.04</v>
      </c>
      <c r="H21" s="7"/>
    </row>
    <row r="22" spans="2:8" x14ac:dyDescent="0.3">
      <c r="B22" s="60" t="s">
        <v>18</v>
      </c>
      <c r="C22" s="1">
        <v>63.59</v>
      </c>
      <c r="D22" s="1">
        <v>55.6</v>
      </c>
      <c r="E22" s="1">
        <v>169.05</v>
      </c>
      <c r="F22" s="1">
        <v>117.94</v>
      </c>
      <c r="G22" s="61">
        <v>25.24</v>
      </c>
      <c r="H22" s="7"/>
    </row>
    <row r="23" spans="2:8" x14ac:dyDescent="0.3">
      <c r="B23" s="58" t="s">
        <v>19</v>
      </c>
      <c r="C23" s="81">
        <v>12415.62</v>
      </c>
      <c r="D23" s="81">
        <v>11478.09</v>
      </c>
      <c r="E23" s="81">
        <v>10173.950000000001</v>
      </c>
      <c r="F23" s="81">
        <v>9089.41</v>
      </c>
      <c r="G23" s="82">
        <v>9621.56</v>
      </c>
      <c r="H23" s="7"/>
    </row>
    <row r="24" spans="2:8" x14ac:dyDescent="0.3">
      <c r="B24" s="58" t="s">
        <v>20</v>
      </c>
      <c r="C24" s="81">
        <v>82261.740000000005</v>
      </c>
      <c r="D24" s="81">
        <v>75092.5</v>
      </c>
      <c r="E24" s="81">
        <v>71580.36</v>
      </c>
      <c r="F24" s="81">
        <v>75235.360000000001</v>
      </c>
      <c r="G24" s="82">
        <v>69797.919999999998</v>
      </c>
      <c r="H24" s="7"/>
    </row>
    <row r="25" spans="2:8" x14ac:dyDescent="0.3">
      <c r="B25" s="58" t="s">
        <v>21</v>
      </c>
      <c r="C25" s="3"/>
      <c r="D25" s="3"/>
      <c r="E25" s="3"/>
      <c r="F25" s="3"/>
      <c r="G25" s="59"/>
      <c r="H25" s="7"/>
    </row>
    <row r="26" spans="2:8" x14ac:dyDescent="0.3">
      <c r="B26" s="58" t="s">
        <v>22</v>
      </c>
      <c r="C26" s="3"/>
      <c r="D26" s="3"/>
      <c r="E26" s="3"/>
      <c r="F26" s="3"/>
      <c r="G26" s="59"/>
      <c r="H26" s="7"/>
    </row>
    <row r="27" spans="2:8" x14ac:dyDescent="0.3">
      <c r="B27" s="60" t="s">
        <v>23</v>
      </c>
      <c r="C27" s="2">
        <v>21207.23</v>
      </c>
      <c r="D27" s="2">
        <v>20271.990000000002</v>
      </c>
      <c r="E27" s="2">
        <v>19216.75</v>
      </c>
      <c r="F27" s="2">
        <v>19612.740000000002</v>
      </c>
      <c r="G27" s="62">
        <v>17945.650000000001</v>
      </c>
      <c r="H27" s="7"/>
    </row>
    <row r="28" spans="2:8" x14ac:dyDescent="0.3">
      <c r="B28" s="60" t="s">
        <v>24</v>
      </c>
      <c r="C28" s="2">
        <v>2614.62</v>
      </c>
      <c r="D28" s="2">
        <v>2584.42</v>
      </c>
      <c r="E28" s="2">
        <v>2581.52</v>
      </c>
      <c r="F28" s="1">
        <v>519.45000000000005</v>
      </c>
      <c r="G28" s="61">
        <v>540.75</v>
      </c>
      <c r="H28" s="7"/>
    </row>
    <row r="29" spans="2:8" x14ac:dyDescent="0.3">
      <c r="B29" s="60" t="s">
        <v>25</v>
      </c>
      <c r="C29" s="2">
        <v>1681.47</v>
      </c>
      <c r="D29" s="2">
        <v>2442.34</v>
      </c>
      <c r="E29" s="2">
        <v>3329.97</v>
      </c>
      <c r="F29" s="2">
        <v>2776.31</v>
      </c>
      <c r="G29" s="62">
        <v>3391.47</v>
      </c>
      <c r="H29" s="7"/>
    </row>
    <row r="30" spans="2:8" x14ac:dyDescent="0.3">
      <c r="B30" s="60" t="s">
        <v>26</v>
      </c>
      <c r="C30" s="1">
        <v>352.26</v>
      </c>
      <c r="D30" s="1">
        <v>364.2</v>
      </c>
      <c r="E30" s="1">
        <v>376.56</v>
      </c>
      <c r="F30" s="1">
        <v>385.36</v>
      </c>
      <c r="G30" s="61">
        <v>0</v>
      </c>
      <c r="H30" s="7"/>
    </row>
    <row r="31" spans="2:8" x14ac:dyDescent="0.3">
      <c r="B31" s="60" t="s">
        <v>27</v>
      </c>
      <c r="C31" s="2">
        <v>25870.71</v>
      </c>
      <c r="D31" s="2">
        <v>25686.79</v>
      </c>
      <c r="E31" s="2">
        <v>25508.3</v>
      </c>
      <c r="F31" s="2">
        <v>23297.75</v>
      </c>
      <c r="G31" s="62">
        <v>21887.759999999998</v>
      </c>
      <c r="H31" s="7"/>
    </row>
    <row r="32" spans="2:8" x14ac:dyDescent="0.3">
      <c r="B32" s="60" t="s">
        <v>28</v>
      </c>
      <c r="C32" s="2">
        <v>16363.55</v>
      </c>
      <c r="D32" s="2">
        <v>15657.32</v>
      </c>
      <c r="E32" s="2">
        <v>12950.38</v>
      </c>
      <c r="F32" s="2">
        <v>13455.59</v>
      </c>
      <c r="G32" s="62">
        <v>14071.45</v>
      </c>
      <c r="H32" s="7"/>
    </row>
    <row r="33" spans="2:8" x14ac:dyDescent="0.3">
      <c r="B33" s="60" t="s">
        <v>29</v>
      </c>
      <c r="C33" s="1">
        <v>0</v>
      </c>
      <c r="D33" s="1">
        <v>0</v>
      </c>
      <c r="E33" s="1">
        <v>0</v>
      </c>
      <c r="F33" s="1">
        <v>0</v>
      </c>
      <c r="G33" s="61">
        <v>0</v>
      </c>
      <c r="H33" s="7"/>
    </row>
    <row r="34" spans="2:8" x14ac:dyDescent="0.3">
      <c r="B34" s="60" t="s">
        <v>30</v>
      </c>
      <c r="C34" s="1">
        <v>4.07</v>
      </c>
      <c r="D34" s="1">
        <v>5.0599999999999996</v>
      </c>
      <c r="E34" s="1">
        <v>2.37</v>
      </c>
      <c r="F34" s="1">
        <v>3.31</v>
      </c>
      <c r="G34" s="61">
        <v>6.21</v>
      </c>
      <c r="H34" s="7"/>
    </row>
    <row r="35" spans="2:8" x14ac:dyDescent="0.3">
      <c r="B35" s="60" t="s">
        <v>31</v>
      </c>
      <c r="C35" s="2">
        <v>4819.97</v>
      </c>
      <c r="D35" s="2">
        <v>2801.32</v>
      </c>
      <c r="E35" s="2">
        <v>1304.07</v>
      </c>
      <c r="F35" s="2">
        <v>1971.8</v>
      </c>
      <c r="G35" s="62">
        <v>4263.54</v>
      </c>
      <c r="H35" s="7"/>
    </row>
    <row r="36" spans="2:8" x14ac:dyDescent="0.3">
      <c r="B36" s="58" t="s">
        <v>32</v>
      </c>
      <c r="C36" s="81">
        <v>47058.3</v>
      </c>
      <c r="D36" s="81">
        <v>44150.49</v>
      </c>
      <c r="E36" s="81">
        <v>39765.120000000003</v>
      </c>
      <c r="F36" s="81">
        <v>38728.449999999997</v>
      </c>
      <c r="G36" s="82">
        <v>40228.959999999999</v>
      </c>
      <c r="H36" s="7"/>
    </row>
    <row r="37" spans="2:8" x14ac:dyDescent="0.3">
      <c r="B37" s="58" t="s">
        <v>33</v>
      </c>
      <c r="C37" s="3"/>
      <c r="D37" s="3"/>
      <c r="E37" s="3"/>
      <c r="F37" s="3"/>
      <c r="G37" s="59"/>
      <c r="H37" s="7"/>
    </row>
    <row r="38" spans="2:8" x14ac:dyDescent="0.3">
      <c r="B38" s="60" t="s">
        <v>34</v>
      </c>
      <c r="C38" s="2">
        <v>16357.07</v>
      </c>
      <c r="D38" s="2">
        <v>11624.95</v>
      </c>
      <c r="E38" s="2">
        <v>14046.71</v>
      </c>
      <c r="F38" s="2">
        <v>17175.02</v>
      </c>
      <c r="G38" s="62">
        <v>12506.55</v>
      </c>
      <c r="H38" s="7"/>
    </row>
    <row r="39" spans="2:8" x14ac:dyDescent="0.3">
      <c r="B39" s="60" t="s">
        <v>35</v>
      </c>
      <c r="C39" s="2">
        <v>10593.9</v>
      </c>
      <c r="D39" s="2">
        <v>9997.77</v>
      </c>
      <c r="E39" s="2">
        <v>9470.8700000000008</v>
      </c>
      <c r="F39" s="2">
        <v>8038.07</v>
      </c>
      <c r="G39" s="62">
        <v>7587.24</v>
      </c>
      <c r="H39" s="7"/>
    </row>
    <row r="40" spans="2:8" x14ac:dyDescent="0.3">
      <c r="B40" s="60" t="s">
        <v>36</v>
      </c>
      <c r="C40" s="2">
        <v>2321.33</v>
      </c>
      <c r="D40" s="2">
        <v>1952.5</v>
      </c>
      <c r="E40" s="2">
        <v>2090.29</v>
      </c>
      <c r="F40" s="2">
        <v>2092</v>
      </c>
      <c r="G40" s="62">
        <v>3646.22</v>
      </c>
      <c r="H40" s="7"/>
    </row>
    <row r="41" spans="2:8" x14ac:dyDescent="0.3">
      <c r="B41" s="60" t="s">
        <v>37</v>
      </c>
      <c r="C41" s="2">
        <v>3831.26</v>
      </c>
      <c r="D41" s="2">
        <v>3877.94</v>
      </c>
      <c r="E41" s="2">
        <v>4001.53</v>
      </c>
      <c r="F41" s="2">
        <v>6843.27</v>
      </c>
      <c r="G41" s="62">
        <v>3768.73</v>
      </c>
      <c r="H41" s="7"/>
    </row>
    <row r="42" spans="2:8" x14ac:dyDescent="0.3">
      <c r="B42" s="60" t="s">
        <v>38</v>
      </c>
      <c r="C42" s="1">
        <v>5.95</v>
      </c>
      <c r="D42" s="1">
        <v>5.73</v>
      </c>
      <c r="E42" s="1">
        <v>2.77</v>
      </c>
      <c r="F42" s="1">
        <v>4.87</v>
      </c>
      <c r="G42" s="61">
        <v>5.0199999999999996</v>
      </c>
      <c r="H42" s="7"/>
    </row>
    <row r="43" spans="2:8" x14ac:dyDescent="0.3">
      <c r="B43" s="60" t="s">
        <v>39</v>
      </c>
      <c r="C43" s="2">
        <v>2093.9299999999998</v>
      </c>
      <c r="D43" s="2">
        <v>3483.12</v>
      </c>
      <c r="E43" s="2">
        <v>2203.0700000000002</v>
      </c>
      <c r="F43" s="2">
        <v>2353.6799999999998</v>
      </c>
      <c r="G43" s="62">
        <v>2055.1999999999998</v>
      </c>
      <c r="H43" s="7"/>
    </row>
    <row r="44" spans="2:8" x14ac:dyDescent="0.3">
      <c r="B44" s="58" t="s">
        <v>40</v>
      </c>
      <c r="C44" s="81">
        <v>35203.440000000002</v>
      </c>
      <c r="D44" s="81">
        <v>30942.01</v>
      </c>
      <c r="E44" s="81">
        <v>31815.24</v>
      </c>
      <c r="F44" s="81">
        <v>36506.910000000003</v>
      </c>
      <c r="G44" s="82">
        <v>29568.959999999999</v>
      </c>
      <c r="H44" s="7"/>
    </row>
    <row r="45" spans="2:8" x14ac:dyDescent="0.3">
      <c r="B45" s="58" t="s">
        <v>41</v>
      </c>
      <c r="C45" s="81">
        <v>82261.740000000005</v>
      </c>
      <c r="D45" s="81">
        <v>75092.5</v>
      </c>
      <c r="E45" s="81">
        <v>71580.36</v>
      </c>
      <c r="F45" s="81">
        <v>75235.360000000001</v>
      </c>
      <c r="G45" s="82">
        <v>69797.919999999998</v>
      </c>
      <c r="H45" s="7"/>
    </row>
    <row r="46" spans="2:8" x14ac:dyDescent="0.3">
      <c r="B46" s="60" t="s">
        <v>42</v>
      </c>
      <c r="C46" s="1"/>
      <c r="D46" s="1"/>
      <c r="E46" s="1"/>
      <c r="F46" s="1"/>
      <c r="G46" s="61"/>
      <c r="H46" s="7"/>
    </row>
    <row r="47" spans="2:8" ht="26.4" x14ac:dyDescent="0.3">
      <c r="B47" s="60" t="s">
        <v>43</v>
      </c>
      <c r="C47" s="1"/>
      <c r="D47" s="1"/>
      <c r="E47" s="1"/>
      <c r="F47" s="1"/>
      <c r="G47" s="61"/>
      <c r="H47" s="7"/>
    </row>
    <row r="48" spans="2:8" x14ac:dyDescent="0.3">
      <c r="B48" s="60" t="s">
        <v>44</v>
      </c>
      <c r="C48" s="2">
        <v>2339.0300000000002</v>
      </c>
      <c r="D48" s="2">
        <v>1919.98</v>
      </c>
      <c r="E48" s="2">
        <v>2339.15</v>
      </c>
      <c r="F48" s="2">
        <v>2357.7399999999998</v>
      </c>
      <c r="G48" s="62">
        <v>2491.31</v>
      </c>
      <c r="H48" s="7"/>
    </row>
    <row r="49" spans="2:8" x14ac:dyDescent="0.3">
      <c r="B49" s="60" t="s">
        <v>45</v>
      </c>
      <c r="C49" s="1"/>
      <c r="D49" s="1"/>
      <c r="E49" s="1"/>
      <c r="F49" s="1"/>
      <c r="G49" s="61"/>
      <c r="H49" s="7"/>
    </row>
    <row r="50" spans="2:8" x14ac:dyDescent="0.3">
      <c r="B50" s="60" t="s">
        <v>46</v>
      </c>
      <c r="C50" s="2">
        <v>2950</v>
      </c>
      <c r="D50" s="2">
        <v>2456</v>
      </c>
      <c r="E50" s="2">
        <v>1366</v>
      </c>
      <c r="F50" s="2">
        <v>1503</v>
      </c>
      <c r="G50" s="62">
        <v>1947</v>
      </c>
      <c r="H50" s="7"/>
    </row>
    <row r="51" spans="2:8" x14ac:dyDescent="0.3">
      <c r="B51" s="60" t="s">
        <v>47</v>
      </c>
      <c r="C51" s="1">
        <v>0</v>
      </c>
      <c r="D51" s="1">
        <v>0</v>
      </c>
      <c r="E51" s="1">
        <v>0</v>
      </c>
      <c r="F51" s="1">
        <v>0</v>
      </c>
      <c r="G51" s="61">
        <v>0</v>
      </c>
      <c r="H51" s="7"/>
    </row>
    <row r="52" spans="2:8" x14ac:dyDescent="0.3">
      <c r="B52" s="60" t="s">
        <v>48</v>
      </c>
      <c r="C52" s="1">
        <v>0</v>
      </c>
      <c r="D52" s="1">
        <v>0</v>
      </c>
      <c r="E52" s="1">
        <v>0</v>
      </c>
      <c r="F52" s="1">
        <v>0</v>
      </c>
      <c r="G52" s="61">
        <v>0</v>
      </c>
      <c r="H52" s="7"/>
    </row>
    <row r="53" spans="2:8" x14ac:dyDescent="0.3">
      <c r="B53" s="60" t="s">
        <v>49</v>
      </c>
      <c r="C53" s="1">
        <v>213</v>
      </c>
      <c r="D53" s="1">
        <v>300</v>
      </c>
      <c r="E53" s="1">
        <v>298</v>
      </c>
      <c r="F53" s="1">
        <v>382</v>
      </c>
      <c r="G53" s="61">
        <v>426</v>
      </c>
      <c r="H53" s="7"/>
    </row>
    <row r="54" spans="2:8" ht="26.4" x14ac:dyDescent="0.3">
      <c r="B54" s="60" t="s">
        <v>50</v>
      </c>
      <c r="C54" s="1"/>
      <c r="D54" s="1"/>
      <c r="E54" s="1"/>
      <c r="F54" s="1"/>
      <c r="G54" s="61"/>
      <c r="H54" s="7"/>
    </row>
    <row r="55" spans="2:8" x14ac:dyDescent="0.3">
      <c r="B55" s="60" t="s">
        <v>51</v>
      </c>
      <c r="C55" s="1">
        <v>0</v>
      </c>
      <c r="D55" s="1">
        <v>0</v>
      </c>
      <c r="E55" s="1">
        <v>0</v>
      </c>
      <c r="F55" s="1">
        <v>0</v>
      </c>
      <c r="G55" s="61">
        <v>0</v>
      </c>
      <c r="H55" s="7"/>
    </row>
    <row r="56" spans="2:8" ht="26.4" x14ac:dyDescent="0.3">
      <c r="B56" s="60" t="s">
        <v>52</v>
      </c>
      <c r="C56" s="1"/>
      <c r="D56" s="1"/>
      <c r="E56" s="1"/>
      <c r="F56" s="1"/>
      <c r="G56" s="61"/>
      <c r="H56" s="7"/>
    </row>
    <row r="57" spans="2:8" x14ac:dyDescent="0.3">
      <c r="B57" s="60" t="s">
        <v>53</v>
      </c>
      <c r="C57" s="1" t="s">
        <v>54</v>
      </c>
      <c r="D57" s="1" t="s">
        <v>54</v>
      </c>
      <c r="E57" s="1" t="s">
        <v>54</v>
      </c>
      <c r="F57" s="1" t="s">
        <v>54</v>
      </c>
      <c r="G57" s="61" t="s">
        <v>54</v>
      </c>
      <c r="H57" s="7"/>
    </row>
    <row r="58" spans="2:8" x14ac:dyDescent="0.3">
      <c r="B58" s="60" t="s">
        <v>55</v>
      </c>
      <c r="C58" s="1"/>
      <c r="D58" s="1"/>
      <c r="E58" s="1"/>
      <c r="F58" s="1"/>
      <c r="G58" s="61"/>
      <c r="H58" s="7"/>
    </row>
    <row r="59" spans="2:8" x14ac:dyDescent="0.3">
      <c r="B59" s="60" t="s">
        <v>56</v>
      </c>
      <c r="C59" s="2">
        <v>10777</v>
      </c>
      <c r="D59" s="2">
        <v>11472</v>
      </c>
      <c r="E59" s="2">
        <v>5934</v>
      </c>
      <c r="F59" s="2">
        <v>3506</v>
      </c>
      <c r="G59" s="62">
        <v>3828</v>
      </c>
      <c r="H59" s="7"/>
    </row>
    <row r="60" spans="2:8" x14ac:dyDescent="0.3">
      <c r="B60" s="60" t="s">
        <v>57</v>
      </c>
      <c r="C60" s="1" t="s">
        <v>54</v>
      </c>
      <c r="D60" s="1" t="s">
        <v>54</v>
      </c>
      <c r="E60" s="1" t="s">
        <v>54</v>
      </c>
      <c r="F60" s="1" t="s">
        <v>54</v>
      </c>
      <c r="G60" s="61" t="s">
        <v>54</v>
      </c>
      <c r="H60" s="7"/>
    </row>
    <row r="61" spans="2:8" x14ac:dyDescent="0.3">
      <c r="B61" s="60" t="s">
        <v>58</v>
      </c>
      <c r="C61" s="1"/>
      <c r="D61" s="1"/>
      <c r="E61" s="1"/>
      <c r="F61" s="1"/>
      <c r="G61" s="61"/>
      <c r="H61" s="7"/>
    </row>
    <row r="62" spans="2:8" x14ac:dyDescent="0.3">
      <c r="B62" s="60" t="s">
        <v>59</v>
      </c>
      <c r="C62" s="2">
        <v>1113.1400000000001</v>
      </c>
      <c r="D62" s="2">
        <v>1113.1400000000001</v>
      </c>
      <c r="E62" s="2">
        <v>1113.1400000000001</v>
      </c>
      <c r="F62" s="2">
        <v>1113.1400000000001</v>
      </c>
      <c r="G62" s="62">
        <v>1113.1400000000001</v>
      </c>
      <c r="H62" s="7"/>
    </row>
    <row r="63" spans="2:8" x14ac:dyDescent="0.3">
      <c r="B63" s="60" t="s">
        <v>60</v>
      </c>
      <c r="C63" s="1"/>
      <c r="D63" s="1"/>
      <c r="E63" s="1"/>
      <c r="F63" s="1"/>
      <c r="G63" s="61"/>
      <c r="H63" s="7"/>
    </row>
    <row r="64" spans="2:8" ht="26.4" x14ac:dyDescent="0.3">
      <c r="B64" s="60" t="s">
        <v>61</v>
      </c>
      <c r="C64" s="2">
        <v>8340.39</v>
      </c>
      <c r="D64" s="2">
        <v>11205.72</v>
      </c>
      <c r="E64" s="2">
        <v>9984.0300000000007</v>
      </c>
      <c r="F64" s="2">
        <v>10592.71</v>
      </c>
      <c r="G64" s="62">
        <v>11218.74</v>
      </c>
      <c r="H64" s="7"/>
    </row>
    <row r="65" spans="2:8" ht="26.4" x14ac:dyDescent="0.3">
      <c r="B65" s="60" t="s">
        <v>62</v>
      </c>
      <c r="C65" s="2">
        <v>8060.95</v>
      </c>
      <c r="D65" s="2">
        <v>4705.95</v>
      </c>
      <c r="E65" s="2">
        <v>3465.92</v>
      </c>
      <c r="F65" s="2">
        <v>3091.69</v>
      </c>
      <c r="G65" s="62">
        <v>2882.13</v>
      </c>
      <c r="H65" s="7"/>
    </row>
    <row r="66" spans="2:8" x14ac:dyDescent="0.3">
      <c r="B66" s="60" t="s">
        <v>63</v>
      </c>
      <c r="C66" s="1"/>
      <c r="D66" s="1"/>
      <c r="E66" s="1"/>
      <c r="F66" s="1"/>
      <c r="G66" s="61"/>
      <c r="H66" s="7"/>
    </row>
    <row r="67" spans="2:8" x14ac:dyDescent="0.3">
      <c r="B67" s="60" t="s">
        <v>64</v>
      </c>
      <c r="C67" s="2">
        <v>3253.03</v>
      </c>
      <c r="D67" s="2">
        <v>4483.7700000000004</v>
      </c>
      <c r="E67" s="2">
        <v>4302.03</v>
      </c>
      <c r="F67" s="2">
        <v>3122.85</v>
      </c>
      <c r="G67" s="62">
        <v>4624.25</v>
      </c>
      <c r="H67" s="7"/>
    </row>
    <row r="68" spans="2:8" ht="27" thickBot="1" x14ac:dyDescent="0.35">
      <c r="B68" s="63" t="s">
        <v>65</v>
      </c>
      <c r="C68" s="64">
        <v>13104.5</v>
      </c>
      <c r="D68" s="64">
        <v>7157.66</v>
      </c>
      <c r="E68" s="64">
        <v>9774.6299999999992</v>
      </c>
      <c r="F68" s="64">
        <v>14061.11</v>
      </c>
      <c r="G68" s="65">
        <v>7885.76</v>
      </c>
      <c r="H68" s="5"/>
    </row>
  </sheetData>
  <mergeCells count="1">
    <mergeCell ref="B2:G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BA9C3-77F7-4BF1-AB6F-AE552B0B9C45}">
  <sheetPr codeName="Sheet2"/>
  <dimension ref="B1:G37"/>
  <sheetViews>
    <sheetView showGridLines="0" workbookViewId="0"/>
  </sheetViews>
  <sheetFormatPr defaultRowHeight="14.4" x14ac:dyDescent="0.3"/>
  <cols>
    <col min="2" max="2" width="27.44140625" customWidth="1"/>
    <col min="3" max="3" width="12.77734375" customWidth="1"/>
    <col min="4" max="4" width="13.33203125" customWidth="1"/>
    <col min="5" max="5" width="13.109375" customWidth="1"/>
    <col min="6" max="6" width="12.44140625" customWidth="1"/>
    <col min="7" max="7" width="14.21875" customWidth="1"/>
  </cols>
  <sheetData>
    <row r="1" spans="2:7" ht="15" thickBot="1" x14ac:dyDescent="0.35"/>
    <row r="2" spans="2:7" ht="18.600000000000001" thickBot="1" x14ac:dyDescent="0.4">
      <c r="B2" s="112" t="s">
        <v>162</v>
      </c>
      <c r="C2" s="113"/>
      <c r="D2" s="113"/>
      <c r="E2" s="113"/>
      <c r="F2" s="113"/>
      <c r="G2" s="114"/>
    </row>
    <row r="3" spans="2:7" x14ac:dyDescent="0.3">
      <c r="B3" s="67"/>
      <c r="C3" s="66" t="s">
        <v>66</v>
      </c>
      <c r="D3" s="66" t="s">
        <v>67</v>
      </c>
      <c r="E3" s="66" t="s">
        <v>68</v>
      </c>
      <c r="F3" s="66" t="s">
        <v>69</v>
      </c>
      <c r="G3" s="68" t="s">
        <v>70</v>
      </c>
    </row>
    <row r="4" spans="2:7" x14ac:dyDescent="0.3">
      <c r="B4" s="69"/>
      <c r="C4" s="12" t="s">
        <v>0</v>
      </c>
      <c r="D4" s="12" t="s">
        <v>0</v>
      </c>
      <c r="E4" s="12" t="s">
        <v>0</v>
      </c>
      <c r="F4" s="12" t="s">
        <v>0</v>
      </c>
      <c r="G4" s="70" t="s">
        <v>0</v>
      </c>
    </row>
    <row r="5" spans="2:7" x14ac:dyDescent="0.3">
      <c r="B5" s="115" t="s">
        <v>175</v>
      </c>
      <c r="C5" s="116"/>
      <c r="D5" s="11"/>
      <c r="E5" s="11"/>
      <c r="F5" s="11"/>
      <c r="G5" s="72"/>
    </row>
    <row r="6" spans="2:7" x14ac:dyDescent="0.3">
      <c r="B6" s="69" t="s">
        <v>72</v>
      </c>
      <c r="C6" s="13">
        <v>70251.28</v>
      </c>
      <c r="D6" s="13">
        <v>59745.56</v>
      </c>
      <c r="E6" s="13">
        <v>48524.56</v>
      </c>
      <c r="F6" s="13">
        <v>46807.34</v>
      </c>
      <c r="G6" s="73">
        <v>45784.39</v>
      </c>
    </row>
    <row r="7" spans="2:7" x14ac:dyDescent="0.3">
      <c r="B7" s="69" t="s">
        <v>73</v>
      </c>
      <c r="C7" s="13">
        <v>4208.01</v>
      </c>
      <c r="D7" s="13">
        <v>3404.29</v>
      </c>
      <c r="E7" s="13">
        <v>3039.43</v>
      </c>
      <c r="F7" s="13">
        <v>1187.6400000000001</v>
      </c>
      <c r="G7" s="70">
        <v>788.74</v>
      </c>
    </row>
    <row r="8" spans="2:7" x14ac:dyDescent="0.3">
      <c r="B8" s="69" t="s">
        <v>74</v>
      </c>
      <c r="C8" s="13">
        <v>66043.27</v>
      </c>
      <c r="D8" s="13">
        <v>56341.27</v>
      </c>
      <c r="E8" s="13">
        <v>45485.13</v>
      </c>
      <c r="F8" s="13">
        <v>45619.7</v>
      </c>
      <c r="G8" s="73">
        <v>44995.65</v>
      </c>
    </row>
    <row r="9" spans="2:7" x14ac:dyDescent="0.3">
      <c r="B9" s="69" t="s">
        <v>75</v>
      </c>
      <c r="C9" s="13">
        <v>2493.67</v>
      </c>
      <c r="D9" s="13">
        <v>2613.63</v>
      </c>
      <c r="E9" s="13">
        <v>3226.15</v>
      </c>
      <c r="F9" s="13">
        <v>2768.01</v>
      </c>
      <c r="G9" s="73">
        <v>2490.13</v>
      </c>
    </row>
    <row r="10" spans="2:7" x14ac:dyDescent="0.3">
      <c r="B10" s="69" t="s">
        <v>76</v>
      </c>
      <c r="C10" s="12">
        <v>39.5</v>
      </c>
      <c r="D10" s="12">
        <v>566.46</v>
      </c>
      <c r="E10" s="12">
        <v>526.86</v>
      </c>
      <c r="F10" s="12">
        <v>176.34</v>
      </c>
      <c r="G10" s="70">
        <v>180.14</v>
      </c>
    </row>
    <row r="11" spans="2:7" x14ac:dyDescent="0.3">
      <c r="B11" s="71" t="s">
        <v>77</v>
      </c>
      <c r="C11" s="14">
        <v>68576.44</v>
      </c>
      <c r="D11" s="14">
        <v>59521.36</v>
      </c>
      <c r="E11" s="14">
        <v>49238.14</v>
      </c>
      <c r="F11" s="14">
        <v>48564.05</v>
      </c>
      <c r="G11" s="74">
        <v>47665.919999999998</v>
      </c>
    </row>
    <row r="12" spans="2:7" x14ac:dyDescent="0.3">
      <c r="B12" s="115" t="s">
        <v>176</v>
      </c>
      <c r="C12" s="116"/>
      <c r="D12" s="11"/>
      <c r="E12" s="11"/>
      <c r="F12" s="11"/>
      <c r="G12" s="72"/>
    </row>
    <row r="13" spans="2:7" x14ac:dyDescent="0.3">
      <c r="B13" s="69" t="s">
        <v>46</v>
      </c>
      <c r="C13" s="13">
        <v>29365.71</v>
      </c>
      <c r="D13" s="13">
        <v>27152.46</v>
      </c>
      <c r="E13" s="13">
        <v>20768.150000000001</v>
      </c>
      <c r="F13" s="13">
        <v>17713.47</v>
      </c>
      <c r="G13" s="73">
        <v>17778.29</v>
      </c>
    </row>
    <row r="14" spans="2:7" x14ac:dyDescent="0.3">
      <c r="B14" s="69" t="s">
        <v>78</v>
      </c>
      <c r="C14" s="13">
        <v>1199.8399999999999</v>
      </c>
      <c r="D14" s="12">
        <v>864.05</v>
      </c>
      <c r="E14" s="12">
        <v>672.11</v>
      </c>
      <c r="F14" s="12">
        <v>744.55</v>
      </c>
      <c r="G14" s="70">
        <v>714.88</v>
      </c>
    </row>
    <row r="15" spans="2:7" x14ac:dyDescent="0.3">
      <c r="B15" s="69" t="s">
        <v>79</v>
      </c>
      <c r="C15" s="13">
        <v>3569.46</v>
      </c>
      <c r="D15" s="13">
        <v>3061.99</v>
      </c>
      <c r="E15" s="13">
        <v>2820.95</v>
      </c>
      <c r="F15" s="13">
        <v>2658.21</v>
      </c>
      <c r="G15" s="73">
        <v>2728.44</v>
      </c>
    </row>
    <row r="16" spans="2:7" ht="22.8" x14ac:dyDescent="0.3">
      <c r="B16" s="69" t="s">
        <v>80</v>
      </c>
      <c r="C16" s="13">
        <v>1155.71</v>
      </c>
      <c r="D16" s="12">
        <v>980.63</v>
      </c>
      <c r="E16" s="13">
        <v>1083.51</v>
      </c>
      <c r="F16" s="12">
        <v>979.71</v>
      </c>
      <c r="G16" s="70">
        <v>976.53</v>
      </c>
    </row>
    <row r="17" spans="2:7" x14ac:dyDescent="0.3">
      <c r="B17" s="69" t="s">
        <v>81</v>
      </c>
      <c r="C17" s="13">
        <v>6847.58</v>
      </c>
      <c r="D17" s="13">
        <v>5914.94</v>
      </c>
      <c r="E17" s="13">
        <v>5144.7700000000004</v>
      </c>
      <c r="F17" s="13">
        <v>5795.85</v>
      </c>
      <c r="G17" s="73">
        <v>5672.14</v>
      </c>
    </row>
    <row r="18" spans="2:7" x14ac:dyDescent="0.3">
      <c r="B18" s="71" t="s">
        <v>82</v>
      </c>
      <c r="C18" s="14">
        <v>42138.3</v>
      </c>
      <c r="D18" s="14">
        <v>37974.07</v>
      </c>
      <c r="E18" s="14">
        <v>30489.49</v>
      </c>
      <c r="F18" s="14">
        <v>27891.79</v>
      </c>
      <c r="G18" s="74">
        <v>27870.28</v>
      </c>
    </row>
    <row r="19" spans="2:7" ht="8.4" customHeight="1" x14ac:dyDescent="0.3">
      <c r="B19" s="71"/>
      <c r="C19" s="14"/>
      <c r="D19" s="14"/>
      <c r="E19" s="14"/>
      <c r="F19" s="14"/>
      <c r="G19" s="74"/>
    </row>
    <row r="20" spans="2:7" x14ac:dyDescent="0.3">
      <c r="B20" s="71" t="s">
        <v>83</v>
      </c>
      <c r="C20" s="14">
        <v>23944.47</v>
      </c>
      <c r="D20" s="14">
        <v>18933.66</v>
      </c>
      <c r="E20" s="14">
        <v>15522.5</v>
      </c>
      <c r="F20" s="14">
        <v>17904.25</v>
      </c>
      <c r="G20" s="74">
        <v>17305.509999999998</v>
      </c>
    </row>
    <row r="21" spans="2:7" x14ac:dyDescent="0.3">
      <c r="B21" s="69" t="s">
        <v>84</v>
      </c>
      <c r="C21" s="13">
        <v>26438.14</v>
      </c>
      <c r="D21" s="13">
        <v>21547.29</v>
      </c>
      <c r="E21" s="13">
        <v>18748.650000000001</v>
      </c>
      <c r="F21" s="13">
        <v>20672.259999999998</v>
      </c>
      <c r="G21" s="73">
        <v>19795.64</v>
      </c>
    </row>
    <row r="22" spans="2:7" x14ac:dyDescent="0.3">
      <c r="B22" s="69" t="s">
        <v>85</v>
      </c>
      <c r="C22" s="12">
        <v>41.81</v>
      </c>
      <c r="D22" s="12">
        <v>41.95</v>
      </c>
      <c r="E22" s="12">
        <v>47.47</v>
      </c>
      <c r="F22" s="12">
        <v>55.72</v>
      </c>
      <c r="G22" s="70">
        <v>34.19</v>
      </c>
    </row>
    <row r="23" spans="2:7" x14ac:dyDescent="0.3">
      <c r="B23" s="69" t="s">
        <v>86</v>
      </c>
      <c r="C23" s="13">
        <v>26396.33</v>
      </c>
      <c r="D23" s="13">
        <v>21505.34</v>
      </c>
      <c r="E23" s="13">
        <v>18701.18</v>
      </c>
      <c r="F23" s="13">
        <v>20616.54</v>
      </c>
      <c r="G23" s="73">
        <v>19761.45</v>
      </c>
    </row>
    <row r="24" spans="2:7" x14ac:dyDescent="0.3">
      <c r="B24" s="69" t="s">
        <v>87</v>
      </c>
      <c r="C24" s="13">
        <v>1662.73</v>
      </c>
      <c r="D24" s="13">
        <v>1652.15</v>
      </c>
      <c r="E24" s="13">
        <v>1561.83</v>
      </c>
      <c r="F24" s="13">
        <v>1563.27</v>
      </c>
      <c r="G24" s="73">
        <v>1311.7</v>
      </c>
    </row>
    <row r="25" spans="2:7" x14ac:dyDescent="0.3">
      <c r="B25" s="69" t="s">
        <v>88</v>
      </c>
      <c r="C25" s="13">
        <v>24733.599999999999</v>
      </c>
      <c r="D25" s="13">
        <v>19853.189999999999</v>
      </c>
      <c r="E25" s="13">
        <v>17139.349999999999</v>
      </c>
      <c r="F25" s="13">
        <v>19053.27</v>
      </c>
      <c r="G25" s="73">
        <v>18449.75</v>
      </c>
    </row>
    <row r="26" spans="2:7" x14ac:dyDescent="0.3">
      <c r="B26" s="69" t="s">
        <v>89</v>
      </c>
      <c r="C26" s="13">
        <v>24733.599999999999</v>
      </c>
      <c r="D26" s="13">
        <v>19853.189999999999</v>
      </c>
      <c r="E26" s="13">
        <v>17139.349999999999</v>
      </c>
      <c r="F26" s="13">
        <v>19053.27</v>
      </c>
      <c r="G26" s="73">
        <v>18449.75</v>
      </c>
    </row>
    <row r="27" spans="2:7" x14ac:dyDescent="0.3">
      <c r="B27" s="69" t="s">
        <v>90</v>
      </c>
      <c r="C27" s="13">
        <v>5997.1</v>
      </c>
      <c r="D27" s="13">
        <v>4771.7</v>
      </c>
      <c r="E27" s="13">
        <v>4132.51</v>
      </c>
      <c r="F27" s="13">
        <v>4030.76</v>
      </c>
      <c r="G27" s="73">
        <v>5979.84</v>
      </c>
    </row>
    <row r="28" spans="2:7" x14ac:dyDescent="0.3">
      <c r="B28" s="71" t="s">
        <v>91</v>
      </c>
      <c r="C28" s="14">
        <v>18753.310000000001</v>
      </c>
      <c r="D28" s="14">
        <v>15057.83</v>
      </c>
      <c r="E28" s="14">
        <v>13031.68</v>
      </c>
      <c r="F28" s="14">
        <v>15136.05</v>
      </c>
      <c r="G28" s="74">
        <v>12464.32</v>
      </c>
    </row>
    <row r="29" spans="2:7" x14ac:dyDescent="0.3">
      <c r="B29" s="69" t="s">
        <v>92</v>
      </c>
      <c r="C29" s="13">
        <v>12772.59</v>
      </c>
      <c r="D29" s="13">
        <v>10821.61</v>
      </c>
      <c r="E29" s="13">
        <v>9721.34</v>
      </c>
      <c r="F29" s="13">
        <v>10178.32</v>
      </c>
      <c r="G29" s="73">
        <v>10091.99</v>
      </c>
    </row>
    <row r="30" spans="2:7" x14ac:dyDescent="0.3">
      <c r="B30" s="69" t="s">
        <v>93</v>
      </c>
      <c r="C30" s="13">
        <v>7448.41</v>
      </c>
      <c r="D30" s="13">
        <v>6469.48</v>
      </c>
      <c r="E30" s="13">
        <v>6152.68</v>
      </c>
      <c r="F30" s="13">
        <v>7048.71</v>
      </c>
      <c r="G30" s="73">
        <v>6285.21</v>
      </c>
    </row>
    <row r="31" spans="2:7" x14ac:dyDescent="0.3">
      <c r="B31" s="69" t="s">
        <v>94</v>
      </c>
      <c r="C31" s="12">
        <v>0</v>
      </c>
      <c r="D31" s="12">
        <v>0</v>
      </c>
      <c r="E31" s="12">
        <v>0</v>
      </c>
      <c r="F31" s="13">
        <v>1373.52</v>
      </c>
      <c r="G31" s="73">
        <v>1201.69</v>
      </c>
    </row>
    <row r="32" spans="2:7" ht="19.2" customHeight="1" x14ac:dyDescent="0.3">
      <c r="B32" s="115" t="s">
        <v>95</v>
      </c>
      <c r="C32" s="116"/>
      <c r="D32" s="11"/>
      <c r="E32" s="11"/>
      <c r="F32" s="11"/>
      <c r="G32" s="72"/>
    </row>
    <row r="33" spans="2:7" x14ac:dyDescent="0.3">
      <c r="B33" s="69" t="s">
        <v>96</v>
      </c>
      <c r="C33" s="13">
        <v>124280.18</v>
      </c>
      <c r="D33" s="13">
        <v>123232.56</v>
      </c>
      <c r="E33" s="13">
        <v>123088.44</v>
      </c>
      <c r="F33" s="13">
        <v>122922.31</v>
      </c>
      <c r="G33" s="73">
        <v>122586.32</v>
      </c>
    </row>
    <row r="34" spans="2:7" x14ac:dyDescent="0.3">
      <c r="B34" s="71" t="s">
        <v>97</v>
      </c>
      <c r="C34" s="11">
        <v>15.09</v>
      </c>
      <c r="D34" s="11">
        <v>12.22</v>
      </c>
      <c r="E34" s="11">
        <v>10.59</v>
      </c>
      <c r="F34" s="11">
        <v>12.31</v>
      </c>
      <c r="G34" s="72">
        <v>10.17</v>
      </c>
    </row>
    <row r="35" spans="2:7" x14ac:dyDescent="0.3">
      <c r="B35" s="69" t="s">
        <v>98</v>
      </c>
      <c r="C35" s="13">
        <v>1550</v>
      </c>
      <c r="D35" s="13">
        <v>1150</v>
      </c>
      <c r="E35" s="13">
        <v>1075</v>
      </c>
      <c r="F35" s="13">
        <v>1015</v>
      </c>
      <c r="G35" s="70">
        <v>575</v>
      </c>
    </row>
    <row r="36" spans="2:7" ht="15" thickBot="1" x14ac:dyDescent="0.35">
      <c r="B36" s="75" t="s">
        <v>99</v>
      </c>
      <c r="C36" s="76">
        <v>53.79</v>
      </c>
      <c r="D36" s="76">
        <v>48.76</v>
      </c>
      <c r="E36" s="76">
        <v>46.55</v>
      </c>
      <c r="F36" s="76">
        <v>50.44</v>
      </c>
      <c r="G36" s="77">
        <v>45.64</v>
      </c>
    </row>
    <row r="37" spans="2:7" x14ac:dyDescent="0.3">
      <c r="B37" s="8"/>
      <c r="C37" s="9"/>
    </row>
  </sheetData>
  <mergeCells count="4">
    <mergeCell ref="B2:G2"/>
    <mergeCell ref="B32:C32"/>
    <mergeCell ref="B5:C5"/>
    <mergeCell ref="B12:C1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DF4A2-AA41-4B52-B9F2-3EF13A2AE66A}">
  <sheetPr codeName="Sheet3"/>
  <dimension ref="B2:J9"/>
  <sheetViews>
    <sheetView showGridLines="0" workbookViewId="0">
      <selection activeCell="D17" sqref="D17"/>
    </sheetView>
  </sheetViews>
  <sheetFormatPr defaultRowHeight="14.4" x14ac:dyDescent="0.3"/>
  <cols>
    <col min="1" max="1" width="4" customWidth="1"/>
    <col min="2" max="2" width="14.77734375" bestFit="1" customWidth="1"/>
    <col min="3" max="3" width="10.77734375" bestFit="1" customWidth="1"/>
    <col min="5" max="5" width="12.21875" bestFit="1" customWidth="1"/>
    <col min="6" max="6" width="10.77734375" bestFit="1" customWidth="1"/>
  </cols>
  <sheetData>
    <row r="2" spans="2:10" x14ac:dyDescent="0.3">
      <c r="B2" t="s">
        <v>101</v>
      </c>
      <c r="C2" t="s">
        <v>102</v>
      </c>
      <c r="E2" t="s">
        <v>101</v>
      </c>
      <c r="F2" t="s">
        <v>102</v>
      </c>
      <c r="J2" s="15" t="s">
        <v>100</v>
      </c>
    </row>
    <row r="3" spans="2:10" x14ac:dyDescent="0.3">
      <c r="B3" s="136" t="s">
        <v>103</v>
      </c>
      <c r="C3" s="138">
        <v>418</v>
      </c>
      <c r="E3" s="136" t="s">
        <v>109</v>
      </c>
      <c r="F3" s="138">
        <v>426.25</v>
      </c>
    </row>
    <row r="4" spans="2:10" x14ac:dyDescent="0.3">
      <c r="B4" s="135" t="s">
        <v>104</v>
      </c>
      <c r="C4" s="25">
        <v>418.85</v>
      </c>
      <c r="E4" s="135" t="s">
        <v>110</v>
      </c>
      <c r="F4" s="25">
        <v>416</v>
      </c>
    </row>
    <row r="5" spans="2:10" x14ac:dyDescent="0.3">
      <c r="B5" s="135" t="s">
        <v>105</v>
      </c>
      <c r="C5" s="25">
        <v>16582634</v>
      </c>
      <c r="E5" s="135" t="s">
        <v>111</v>
      </c>
      <c r="F5" s="25">
        <v>460.7</v>
      </c>
    </row>
    <row r="6" spans="2:10" x14ac:dyDescent="0.3">
      <c r="B6" s="135" t="s">
        <v>106</v>
      </c>
      <c r="C6" s="25">
        <v>70434.740000000005</v>
      </c>
      <c r="E6" s="135" t="s">
        <v>112</v>
      </c>
      <c r="F6" s="25">
        <v>377</v>
      </c>
    </row>
    <row r="7" spans="2:10" x14ac:dyDescent="0.3">
      <c r="B7" s="135" t="s">
        <v>107</v>
      </c>
      <c r="C7" s="25">
        <v>423.64</v>
      </c>
      <c r="E7" s="135" t="s">
        <v>113</v>
      </c>
      <c r="F7" s="25">
        <v>499.7</v>
      </c>
    </row>
    <row r="8" spans="2:10" x14ac:dyDescent="0.3">
      <c r="B8" s="135" t="s">
        <v>108</v>
      </c>
      <c r="C8" s="25"/>
      <c r="E8" s="135" t="s">
        <v>114</v>
      </c>
      <c r="F8" s="25">
        <v>384.75</v>
      </c>
    </row>
    <row r="9" spans="2:10" x14ac:dyDescent="0.3">
      <c r="B9" s="137" t="s">
        <v>185</v>
      </c>
      <c r="C9" s="139">
        <v>530289</v>
      </c>
      <c r="E9" s="137" t="s">
        <v>186</v>
      </c>
      <c r="F9" s="139">
        <v>1</v>
      </c>
    </row>
  </sheetData>
  <hyperlinks>
    <hyperlink ref="J2" r:id="rId1" xr:uid="{5965D348-F0C1-4A50-9259-EE01A2B13696}"/>
  </hyperlinks>
  <pageMargins left="0.7" right="0.7" top="0.75" bottom="0.75" header="0.3" footer="0.3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9D4B8-8225-4D9A-9078-7B967FED4DA9}">
  <sheetPr codeName="Sheet5"/>
  <dimension ref="B1:O16"/>
  <sheetViews>
    <sheetView showGridLines="0" workbookViewId="0">
      <selection activeCell="L22" sqref="L22"/>
    </sheetView>
  </sheetViews>
  <sheetFormatPr defaultRowHeight="14.4" x14ac:dyDescent="0.3"/>
  <cols>
    <col min="1" max="1" width="4" customWidth="1"/>
    <col min="2" max="2" width="14.109375" customWidth="1"/>
    <col min="3" max="3" width="1.6640625" customWidth="1"/>
    <col min="4" max="4" width="16.5546875" bestFit="1" customWidth="1"/>
    <col min="5" max="5" width="12" bestFit="1" customWidth="1"/>
    <col min="6" max="6" width="12.88671875" customWidth="1"/>
    <col min="7" max="7" width="11.77734375" customWidth="1"/>
    <col min="8" max="8" width="1.6640625" customWidth="1"/>
    <col min="9" max="9" width="16.5546875" bestFit="1" customWidth="1"/>
    <col min="10" max="10" width="12.6640625" bestFit="1" customWidth="1"/>
    <col min="11" max="11" width="11.44140625" customWidth="1"/>
    <col min="12" max="12" width="15.33203125" customWidth="1"/>
    <col min="13" max="13" width="1.6640625" customWidth="1"/>
    <col min="14" max="14" width="16.5546875" bestFit="1" customWidth="1"/>
    <col min="15" max="15" width="12.6640625" bestFit="1" customWidth="1"/>
  </cols>
  <sheetData>
    <row r="1" spans="2:15" ht="15" thickBot="1" x14ac:dyDescent="0.35"/>
    <row r="2" spans="2:15" s="4" customFormat="1" ht="15" customHeight="1" x14ac:dyDescent="0.3">
      <c r="B2" s="10" t="s">
        <v>74</v>
      </c>
      <c r="D2" s="117" t="s">
        <v>74</v>
      </c>
      <c r="E2" s="118"/>
      <c r="G2" s="10" t="s">
        <v>77</v>
      </c>
      <c r="I2" s="117" t="s">
        <v>77</v>
      </c>
      <c r="J2" s="118"/>
      <c r="L2" s="18" t="s">
        <v>82</v>
      </c>
      <c r="N2" s="117" t="s">
        <v>82</v>
      </c>
      <c r="O2" s="118"/>
    </row>
    <row r="3" spans="2:15" x14ac:dyDescent="0.3">
      <c r="B3" s="13">
        <v>66043.27</v>
      </c>
      <c r="D3" s="23"/>
      <c r="E3" s="24"/>
      <c r="G3" s="13">
        <v>68576.44</v>
      </c>
      <c r="I3" s="23"/>
      <c r="J3" s="24"/>
      <c r="L3" s="13">
        <v>42138.3</v>
      </c>
      <c r="N3" s="23"/>
      <c r="O3" s="24"/>
    </row>
    <row r="4" spans="2:15" x14ac:dyDescent="0.3">
      <c r="B4" s="13">
        <v>56341.27</v>
      </c>
      <c r="D4" s="19" t="s">
        <v>115</v>
      </c>
      <c r="E4" s="20">
        <v>51697.004000000001</v>
      </c>
      <c r="G4" s="13">
        <v>59521.36</v>
      </c>
      <c r="I4" s="19" t="s">
        <v>115</v>
      </c>
      <c r="J4" s="20">
        <v>54713.181999999993</v>
      </c>
      <c r="L4" s="13">
        <v>37974.07</v>
      </c>
      <c r="N4" s="19" t="s">
        <v>115</v>
      </c>
      <c r="O4" s="20">
        <v>33272.786</v>
      </c>
    </row>
    <row r="5" spans="2:15" x14ac:dyDescent="0.3">
      <c r="B5" s="13">
        <v>45485.13</v>
      </c>
      <c r="D5" s="19" t="s">
        <v>116</v>
      </c>
      <c r="E5" s="20">
        <v>4170.2140398013216</v>
      </c>
      <c r="G5" s="13">
        <v>49238.14</v>
      </c>
      <c r="I5" s="19" t="s">
        <v>116</v>
      </c>
      <c r="J5" s="20">
        <v>4078.9723522358081</v>
      </c>
      <c r="L5" s="13">
        <v>30489.49</v>
      </c>
      <c r="N5" s="19" t="s">
        <v>116</v>
      </c>
      <c r="O5" s="20">
        <v>2886.0728974553049</v>
      </c>
    </row>
    <row r="6" spans="2:15" x14ac:dyDescent="0.3">
      <c r="B6" s="13">
        <v>45619.7</v>
      </c>
      <c r="D6" s="19" t="s">
        <v>117</v>
      </c>
      <c r="E6" s="20">
        <v>45619.7</v>
      </c>
      <c r="G6" s="13">
        <v>48564.05</v>
      </c>
      <c r="I6" s="19" t="s">
        <v>117</v>
      </c>
      <c r="J6" s="20">
        <v>49238.14</v>
      </c>
      <c r="L6" s="13">
        <v>27891.79</v>
      </c>
      <c r="N6" s="19" t="s">
        <v>117</v>
      </c>
      <c r="O6" s="20">
        <v>30489.49</v>
      </c>
    </row>
    <row r="7" spans="2:15" x14ac:dyDescent="0.3">
      <c r="B7" s="13">
        <v>44995.65</v>
      </c>
      <c r="D7" s="19" t="s">
        <v>118</v>
      </c>
      <c r="E7" s="20" t="e">
        <v>#N/A</v>
      </c>
      <c r="G7" s="13">
        <v>47665.919999999998</v>
      </c>
      <c r="I7" s="19" t="s">
        <v>118</v>
      </c>
      <c r="J7" s="20" t="e">
        <v>#N/A</v>
      </c>
      <c r="L7" s="13">
        <v>27870.28</v>
      </c>
      <c r="N7" s="19" t="s">
        <v>118</v>
      </c>
      <c r="O7" s="20" t="e">
        <v>#N/A</v>
      </c>
    </row>
    <row r="8" spans="2:15" x14ac:dyDescent="0.3">
      <c r="D8" s="19" t="s">
        <v>119</v>
      </c>
      <c r="E8" s="20">
        <v>9324.8820737197693</v>
      </c>
      <c r="I8" s="19" t="s">
        <v>119</v>
      </c>
      <c r="J8" s="20">
        <v>9120.8594579414839</v>
      </c>
      <c r="N8" s="19" t="s">
        <v>119</v>
      </c>
      <c r="O8" s="20">
        <v>6453.4551867298424</v>
      </c>
    </row>
    <row r="9" spans="2:15" x14ac:dyDescent="0.3">
      <c r="D9" s="19" t="s">
        <v>120</v>
      </c>
      <c r="E9" s="20">
        <v>86953425.688780308</v>
      </c>
      <c r="I9" s="19" t="s">
        <v>120</v>
      </c>
      <c r="J9" s="20">
        <v>83190077.251520634</v>
      </c>
      <c r="N9" s="19" t="s">
        <v>120</v>
      </c>
      <c r="O9" s="20">
        <v>41647083.847130299</v>
      </c>
    </row>
    <row r="10" spans="2:15" x14ac:dyDescent="0.3">
      <c r="D10" s="19" t="s">
        <v>121</v>
      </c>
      <c r="E10" s="20">
        <v>-0.1148574898102428</v>
      </c>
      <c r="I10" s="19" t="s">
        <v>121</v>
      </c>
      <c r="J10" s="20">
        <v>-0.36585246775009139</v>
      </c>
      <c r="N10" s="19" t="s">
        <v>121</v>
      </c>
      <c r="O10" s="20">
        <v>-1.9345358208921679</v>
      </c>
    </row>
    <row r="11" spans="2:15" x14ac:dyDescent="0.3">
      <c r="D11" s="19" t="s">
        <v>122</v>
      </c>
      <c r="E11" s="20">
        <v>1.1756222264417757</v>
      </c>
      <c r="I11" s="19" t="s">
        <v>122</v>
      </c>
      <c r="J11" s="20">
        <v>1.114152574655352</v>
      </c>
      <c r="N11" s="19" t="s">
        <v>122</v>
      </c>
      <c r="O11" s="20">
        <v>0.72190896467779675</v>
      </c>
    </row>
    <row r="12" spans="2:15" x14ac:dyDescent="0.3">
      <c r="D12" s="19" t="s">
        <v>123</v>
      </c>
      <c r="E12" s="20">
        <v>21047.620000000003</v>
      </c>
      <c r="I12" s="19" t="s">
        <v>123</v>
      </c>
      <c r="J12" s="20">
        <v>20910.520000000004</v>
      </c>
      <c r="N12" s="19" t="s">
        <v>123</v>
      </c>
      <c r="O12" s="20">
        <v>14268.020000000004</v>
      </c>
    </row>
    <row r="13" spans="2:15" x14ac:dyDescent="0.3">
      <c r="D13" s="19" t="s">
        <v>124</v>
      </c>
      <c r="E13" s="20">
        <v>44995.65</v>
      </c>
      <c r="I13" s="19" t="s">
        <v>124</v>
      </c>
      <c r="J13" s="20">
        <v>47665.919999999998</v>
      </c>
      <c r="N13" s="19" t="s">
        <v>124</v>
      </c>
      <c r="O13" s="20">
        <v>27870.28</v>
      </c>
    </row>
    <row r="14" spans="2:15" x14ac:dyDescent="0.3">
      <c r="D14" s="19" t="s">
        <v>125</v>
      </c>
      <c r="E14" s="20">
        <v>66043.27</v>
      </c>
      <c r="I14" s="19" t="s">
        <v>125</v>
      </c>
      <c r="J14" s="20">
        <v>68576.44</v>
      </c>
      <c r="N14" s="19" t="s">
        <v>125</v>
      </c>
      <c r="O14" s="20">
        <v>42138.3</v>
      </c>
    </row>
    <row r="15" spans="2:15" x14ac:dyDescent="0.3">
      <c r="D15" s="19" t="s">
        <v>126</v>
      </c>
      <c r="E15" s="20">
        <v>258485.02</v>
      </c>
      <c r="I15" s="19" t="s">
        <v>126</v>
      </c>
      <c r="J15" s="20">
        <v>273565.90999999997</v>
      </c>
      <c r="N15" s="19" t="s">
        <v>126</v>
      </c>
      <c r="O15" s="20">
        <v>166363.93</v>
      </c>
    </row>
    <row r="16" spans="2:15" ht="15" thickBot="1" x14ac:dyDescent="0.35">
      <c r="D16" s="21" t="s">
        <v>127</v>
      </c>
      <c r="E16" s="22">
        <v>5</v>
      </c>
      <c r="I16" s="21" t="s">
        <v>127</v>
      </c>
      <c r="J16" s="22">
        <v>5</v>
      </c>
      <c r="N16" s="21" t="s">
        <v>127</v>
      </c>
      <c r="O16" s="22">
        <v>5</v>
      </c>
    </row>
  </sheetData>
  <mergeCells count="3">
    <mergeCell ref="D2:E2"/>
    <mergeCell ref="I2:J2"/>
    <mergeCell ref="N2:O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32A84-93DD-4C87-8AB9-2A04FF53378A}">
  <sheetPr codeName="Sheet6"/>
  <dimension ref="A2:S37"/>
  <sheetViews>
    <sheetView showGridLines="0" zoomScaleNormal="100" workbookViewId="0">
      <selection activeCell="Q15" sqref="Q15"/>
    </sheetView>
  </sheetViews>
  <sheetFormatPr defaultRowHeight="14.4" x14ac:dyDescent="0.3"/>
  <cols>
    <col min="1" max="1" width="5" customWidth="1"/>
    <col min="2" max="2" width="17.44140625" bestFit="1" customWidth="1"/>
    <col min="3" max="3" width="12" bestFit="1" customWidth="1"/>
    <col min="4" max="4" width="10.109375" bestFit="1" customWidth="1"/>
    <col min="7" max="7" width="17.44140625" bestFit="1" customWidth="1"/>
    <col min="8" max="8" width="12" bestFit="1" customWidth="1"/>
    <col min="9" max="9" width="10.109375" bestFit="1" customWidth="1"/>
    <col min="16" max="17" width="11.33203125" bestFit="1" customWidth="1"/>
  </cols>
  <sheetData>
    <row r="2" spans="2:19" x14ac:dyDescent="0.3">
      <c r="B2" s="119" t="s">
        <v>159</v>
      </c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</row>
    <row r="3" spans="2:19" x14ac:dyDescent="0.3">
      <c r="B3" s="120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</row>
    <row r="5" spans="2:19" s="4" customFormat="1" x14ac:dyDescent="0.3">
      <c r="B5" s="31" t="s">
        <v>129</v>
      </c>
      <c r="C5" s="31" t="s">
        <v>130</v>
      </c>
      <c r="D5" s="31" t="s">
        <v>131</v>
      </c>
      <c r="E5" s="32"/>
    </row>
    <row r="6" spans="2:19" x14ac:dyDescent="0.3">
      <c r="B6" s="25">
        <v>2019</v>
      </c>
      <c r="C6" s="30">
        <v>44995.65</v>
      </c>
      <c r="D6" s="30">
        <v>12464.32</v>
      </c>
      <c r="O6" s="121" t="s">
        <v>135</v>
      </c>
      <c r="P6" s="121"/>
      <c r="Q6" s="121"/>
    </row>
    <row r="7" spans="2:19" x14ac:dyDescent="0.3">
      <c r="B7" s="25">
        <v>2020</v>
      </c>
      <c r="C7" s="30">
        <v>45619.7</v>
      </c>
      <c r="D7" s="30">
        <v>15136.05</v>
      </c>
      <c r="O7" s="26" t="s">
        <v>129</v>
      </c>
      <c r="P7" s="26" t="s">
        <v>130</v>
      </c>
      <c r="Q7" s="26" t="s">
        <v>131</v>
      </c>
      <c r="R7" s="4"/>
      <c r="S7" s="4"/>
    </row>
    <row r="8" spans="2:19" x14ac:dyDescent="0.3">
      <c r="B8" s="25">
        <v>2021</v>
      </c>
      <c r="C8" s="30">
        <v>45485.13</v>
      </c>
      <c r="D8" s="30">
        <v>13031.68</v>
      </c>
      <c r="O8" s="25">
        <v>2024</v>
      </c>
      <c r="P8" s="29">
        <f>_xlfn.FORECAST.LINEAR(O8,Correlation!$C$6:$C$10,Correlation!$B$6:$B$10)</f>
        <v>67542.047000000253</v>
      </c>
      <c r="Q8" s="29">
        <f>_xlfn.FORECAST.LINEAR(P8,Correlation!$D$6:$D$10,Correlation!$C$6:$C$10)</f>
        <v>18647.34547675457</v>
      </c>
    </row>
    <row r="9" spans="2:19" x14ac:dyDescent="0.3">
      <c r="B9" s="25">
        <v>2022</v>
      </c>
      <c r="C9" s="30">
        <v>56341.27</v>
      </c>
      <c r="D9" s="30">
        <v>15057.83</v>
      </c>
      <c r="O9" s="25">
        <v>2025</v>
      </c>
      <c r="P9" s="29">
        <f>_xlfn.FORECAST.LINEAR(O9,Correlation!$C$6:$C$10,Correlation!$B$6:$B$10)</f>
        <v>72823.728000000119</v>
      </c>
      <c r="Q9" s="29">
        <f>_xlfn.FORECAST.LINEAR(P9,Correlation!$D$6:$D$10,Correlation!$C$6:$C$10)</f>
        <v>19900.247969006035</v>
      </c>
    </row>
    <row r="10" spans="2:19" x14ac:dyDescent="0.3">
      <c r="B10" s="25">
        <v>2023</v>
      </c>
      <c r="C10" s="30">
        <v>66043.27</v>
      </c>
      <c r="D10" s="30">
        <v>18753.310000000001</v>
      </c>
      <c r="O10" s="25">
        <v>2026</v>
      </c>
      <c r="P10" s="29">
        <f>_xlfn.FORECAST.LINEAR(O10,Correlation!$C$6:$C$10,Correlation!$B$6:$B$10)</f>
        <v>78105.408999999985</v>
      </c>
      <c r="Q10" s="29">
        <f>_xlfn.FORECAST.LINEAR(P10,Correlation!$D$6:$D$10,Correlation!$C$6:$C$10)</f>
        <v>21153.150461257508</v>
      </c>
    </row>
    <row r="11" spans="2:19" x14ac:dyDescent="0.3">
      <c r="O11" s="25">
        <v>2027</v>
      </c>
      <c r="P11" s="29">
        <f>_xlfn.FORECAST.LINEAR(O11,Correlation!$C$6:$C$10,Correlation!$B$6:$B$10)</f>
        <v>83387.089999999851</v>
      </c>
      <c r="Q11" s="29">
        <f>_xlfn.FORECAST.LINEAR(P11,Correlation!$D$6:$D$10,Correlation!$C$6:$C$10)</f>
        <v>22406.052953508981</v>
      </c>
    </row>
    <row r="12" spans="2:19" x14ac:dyDescent="0.3">
      <c r="B12" s="4" t="s">
        <v>136</v>
      </c>
      <c r="O12" s="25">
        <v>2028</v>
      </c>
      <c r="P12" s="29">
        <f>_xlfn.FORECAST.LINEAR(O12,Correlation!$C$6:$C$10,Correlation!$B$6:$B$10)</f>
        <v>88668.77100000158</v>
      </c>
      <c r="Q12" s="29">
        <f>_xlfn.FORECAST.LINEAR(P12,Correlation!$D$6:$D$10,Correlation!$C$6:$C$10)</f>
        <v>23658.95544576089</v>
      </c>
    </row>
    <row r="13" spans="2:19" ht="15" thickBot="1" x14ac:dyDescent="0.35"/>
    <row r="14" spans="2:19" x14ac:dyDescent="0.3">
      <c r="B14" s="36" t="s">
        <v>137</v>
      </c>
      <c r="C14" s="17"/>
    </row>
    <row r="15" spans="2:19" x14ac:dyDescent="0.3">
      <c r="B15" t="s">
        <v>138</v>
      </c>
      <c r="C15">
        <v>0.89651757784722064</v>
      </c>
      <c r="P15" s="108">
        <f>(P8-C10)/C10</f>
        <v>2.2693864189345093E-2</v>
      </c>
      <c r="Q15">
        <f>(Q8-D10)/D10</f>
        <v>-5.6504437480866757E-3</v>
      </c>
    </row>
    <row r="16" spans="2:19" x14ac:dyDescent="0.3">
      <c r="B16" t="s">
        <v>139</v>
      </c>
      <c r="C16">
        <v>0.80374376738904729</v>
      </c>
    </row>
    <row r="17" spans="1:18" x14ac:dyDescent="0.3">
      <c r="B17" t="s">
        <v>140</v>
      </c>
      <c r="C17">
        <v>0.73832502318539639</v>
      </c>
    </row>
    <row r="18" spans="1:18" x14ac:dyDescent="0.3">
      <c r="B18" t="s">
        <v>116</v>
      </c>
      <c r="C18">
        <v>1262.1493328251715</v>
      </c>
    </row>
    <row r="19" spans="1:18" ht="15" thickBot="1" x14ac:dyDescent="0.35">
      <c r="B19" s="16" t="s">
        <v>141</v>
      </c>
      <c r="C19" s="16">
        <v>5</v>
      </c>
    </row>
    <row r="21" spans="1:18" ht="15" thickBot="1" x14ac:dyDescent="0.3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3" spans="1:18" x14ac:dyDescent="0.3">
      <c r="B23" s="26" t="s">
        <v>129</v>
      </c>
      <c r="C23" s="26" t="s">
        <v>130</v>
      </c>
      <c r="D23" s="26" t="s">
        <v>132</v>
      </c>
    </row>
    <row r="24" spans="1:18" x14ac:dyDescent="0.3">
      <c r="B24" s="25">
        <v>2019</v>
      </c>
      <c r="C24" s="30">
        <v>44995.65</v>
      </c>
      <c r="D24" s="30">
        <v>27870.28</v>
      </c>
    </row>
    <row r="25" spans="1:18" x14ac:dyDescent="0.3">
      <c r="B25" s="25">
        <v>2020</v>
      </c>
      <c r="C25" s="30">
        <v>45619.7</v>
      </c>
      <c r="D25" s="30">
        <v>27891.79</v>
      </c>
      <c r="O25" s="121" t="s">
        <v>135</v>
      </c>
      <c r="P25" s="121"/>
      <c r="Q25" s="121"/>
    </row>
    <row r="26" spans="1:18" x14ac:dyDescent="0.3">
      <c r="B26" s="25">
        <v>2021</v>
      </c>
      <c r="C26" s="30">
        <v>45485.13</v>
      </c>
      <c r="D26" s="30">
        <v>30489.49</v>
      </c>
      <c r="O26" s="26" t="s">
        <v>129</v>
      </c>
      <c r="P26" s="26" t="s">
        <v>71</v>
      </c>
      <c r="Q26" s="26" t="s">
        <v>132</v>
      </c>
    </row>
    <row r="27" spans="1:18" x14ac:dyDescent="0.3">
      <c r="B27" s="25">
        <v>2022</v>
      </c>
      <c r="C27" s="30">
        <v>56341.27</v>
      </c>
      <c r="D27" s="30">
        <v>37974.07</v>
      </c>
      <c r="O27" s="25">
        <v>2024</v>
      </c>
      <c r="P27" s="29">
        <f>_xlfn.FORECAST.LINEAR(O27,Correlation!$H$6:$H$10,Correlation!$G$6:$G$10)</f>
        <v>67542.047000000253</v>
      </c>
      <c r="Q27" s="29">
        <f>_xlfn.FORECAST.LINEAR(O27,Correlation!$I$6:$I$10,Correlation!$G$6:$G$10)</f>
        <v>44858.281999999657</v>
      </c>
    </row>
    <row r="28" spans="1:18" x14ac:dyDescent="0.3">
      <c r="B28" s="25">
        <v>2023</v>
      </c>
      <c r="C28" s="30">
        <v>66043.27</v>
      </c>
      <c r="D28" s="30">
        <v>42138.3</v>
      </c>
      <c r="O28" s="25">
        <v>2025</v>
      </c>
      <c r="P28" s="29">
        <f>_xlfn.FORECAST.LINEAR(O28,Correlation!$H$6:$H$10,Correlation!$G$6:$G$10)</f>
        <v>72823.728000000119</v>
      </c>
      <c r="Q28" s="29">
        <f>_xlfn.FORECAST.LINEAR(O28,Correlation!$I$6:$I$10,Correlation!$G$6:$G$10)</f>
        <v>48720.11400000006</v>
      </c>
    </row>
    <row r="29" spans="1:18" x14ac:dyDescent="0.3">
      <c r="O29" s="25">
        <v>2026</v>
      </c>
      <c r="P29" s="29">
        <f>_xlfn.FORECAST.LINEAR(O29,Correlation!$H$6:$H$10,Correlation!$G$6:$G$10)</f>
        <v>78105.408999999985</v>
      </c>
      <c r="Q29" s="29">
        <f>_xlfn.FORECAST.LINEAR(O29,Correlation!$I$6:$I$10,Correlation!$G$6:$G$10)</f>
        <v>52581.945999999531</v>
      </c>
    </row>
    <row r="30" spans="1:18" x14ac:dyDescent="0.3">
      <c r="B30" s="4" t="s">
        <v>136</v>
      </c>
      <c r="O30" s="25">
        <v>2027</v>
      </c>
      <c r="P30" s="29">
        <f>_xlfn.FORECAST.LINEAR(O30,Correlation!$H$6:$H$10,Correlation!$G$6:$G$10)</f>
        <v>83387.089999999851</v>
      </c>
      <c r="Q30" s="29">
        <f>_xlfn.FORECAST.LINEAR(O30,Correlation!$I$6:$I$10,Correlation!$G$6:$G$10)</f>
        <v>56443.777999999933</v>
      </c>
    </row>
    <row r="31" spans="1:18" ht="15" thickBot="1" x14ac:dyDescent="0.35">
      <c r="B31" s="4"/>
      <c r="O31" s="25">
        <v>2028</v>
      </c>
      <c r="P31" s="29">
        <f>_xlfn.FORECAST.LINEAR(O31,Correlation!$H$6:$H$10,Correlation!$G$6:$G$10)</f>
        <v>88668.77100000158</v>
      </c>
      <c r="Q31" s="29">
        <f>_xlfn.FORECAST.LINEAR(O31,Correlation!$I$6:$I$10,Correlation!$G$6:$G$10)</f>
        <v>60305.610000000335</v>
      </c>
    </row>
    <row r="32" spans="1:18" x14ac:dyDescent="0.3">
      <c r="B32" s="36" t="s">
        <v>137</v>
      </c>
      <c r="C32" s="17"/>
    </row>
    <row r="33" spans="2:3" x14ac:dyDescent="0.3">
      <c r="B33" t="s">
        <v>138</v>
      </c>
      <c r="C33">
        <v>0.97717484931905141</v>
      </c>
    </row>
    <row r="34" spans="2:3" x14ac:dyDescent="0.3">
      <c r="B34" t="s">
        <v>139</v>
      </c>
      <c r="C34">
        <v>0.95487068614171078</v>
      </c>
    </row>
    <row r="35" spans="2:3" x14ac:dyDescent="0.3">
      <c r="B35" t="s">
        <v>140</v>
      </c>
      <c r="C35">
        <v>0.93982758152228107</v>
      </c>
    </row>
    <row r="36" spans="2:3" x14ac:dyDescent="0.3">
      <c r="B36" t="s">
        <v>116</v>
      </c>
      <c r="C36">
        <v>1583.036878163663</v>
      </c>
    </row>
    <row r="37" spans="2:3" ht="15" thickBot="1" x14ac:dyDescent="0.35">
      <c r="B37" s="16" t="s">
        <v>141</v>
      </c>
      <c r="C37" s="16">
        <v>5</v>
      </c>
    </row>
  </sheetData>
  <mergeCells count="3">
    <mergeCell ref="B2:M3"/>
    <mergeCell ref="O6:Q6"/>
    <mergeCell ref="O25:Q2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E803E-05E8-4529-8688-D2FD8FEF0639}">
  <sheetPr codeName="Sheet7"/>
  <dimension ref="B2:J14"/>
  <sheetViews>
    <sheetView showGridLines="0" workbookViewId="0">
      <selection activeCell="H24" sqref="H24"/>
    </sheetView>
  </sheetViews>
  <sheetFormatPr defaultRowHeight="14.4" x14ac:dyDescent="0.3"/>
  <cols>
    <col min="1" max="1" width="4.88671875" customWidth="1"/>
    <col min="3" max="3" width="13" customWidth="1"/>
    <col min="4" max="4" width="16.33203125" bestFit="1" customWidth="1"/>
    <col min="8" max="8" width="13.21875" customWidth="1"/>
    <col min="9" max="9" width="12" customWidth="1"/>
  </cols>
  <sheetData>
    <row r="2" spans="2:10" x14ac:dyDescent="0.3">
      <c r="B2" s="122" t="s">
        <v>160</v>
      </c>
      <c r="C2" s="123"/>
      <c r="D2" s="123"/>
      <c r="E2" s="123"/>
      <c r="F2" s="123"/>
      <c r="G2" s="123"/>
      <c r="H2" s="123"/>
      <c r="I2" s="123"/>
    </row>
    <row r="3" spans="2:10" x14ac:dyDescent="0.3">
      <c r="B3" s="123"/>
      <c r="C3" s="123"/>
      <c r="D3" s="123"/>
      <c r="E3" s="123"/>
      <c r="F3" s="123"/>
      <c r="G3" s="123"/>
      <c r="H3" s="123"/>
      <c r="I3" s="123"/>
    </row>
    <row r="5" spans="2:10" s="4" customFormat="1" x14ac:dyDescent="0.3">
      <c r="B5" s="26" t="s">
        <v>129</v>
      </c>
      <c r="C5" s="26" t="s">
        <v>130</v>
      </c>
      <c r="D5" s="26" t="s">
        <v>131</v>
      </c>
      <c r="G5" s="26" t="s">
        <v>129</v>
      </c>
      <c r="H5" s="26" t="s">
        <v>130</v>
      </c>
      <c r="I5" s="26" t="s">
        <v>132</v>
      </c>
    </row>
    <row r="6" spans="2:10" x14ac:dyDescent="0.3">
      <c r="B6" s="25">
        <v>2019</v>
      </c>
      <c r="C6" s="30">
        <v>44995.65</v>
      </c>
      <c r="D6" s="30">
        <v>12464.32</v>
      </c>
      <c r="G6" s="25">
        <v>2019</v>
      </c>
      <c r="H6" s="30">
        <v>44995.65</v>
      </c>
      <c r="I6" s="30">
        <v>27870.28</v>
      </c>
    </row>
    <row r="7" spans="2:10" x14ac:dyDescent="0.3">
      <c r="B7" s="25">
        <v>2020</v>
      </c>
      <c r="C7" s="30">
        <v>45619.7</v>
      </c>
      <c r="D7" s="30">
        <v>15136.05</v>
      </c>
      <c r="G7" s="25">
        <v>2020</v>
      </c>
      <c r="H7" s="30">
        <v>45619.7</v>
      </c>
      <c r="I7" s="30">
        <v>27891.79</v>
      </c>
    </row>
    <row r="8" spans="2:10" x14ac:dyDescent="0.3">
      <c r="B8" s="25">
        <v>2021</v>
      </c>
      <c r="C8" s="30">
        <v>45485.13</v>
      </c>
      <c r="D8" s="30">
        <v>13031.68</v>
      </c>
      <c r="G8" s="25">
        <v>2021</v>
      </c>
      <c r="H8" s="30">
        <v>45485.13</v>
      </c>
      <c r="I8" s="30">
        <v>30489.49</v>
      </c>
    </row>
    <row r="9" spans="2:10" x14ac:dyDescent="0.3">
      <c r="B9" s="25">
        <v>2022</v>
      </c>
      <c r="C9" s="30">
        <v>56341.27</v>
      </c>
      <c r="D9" s="30">
        <v>15057.83</v>
      </c>
      <c r="G9" s="25">
        <v>2022</v>
      </c>
      <c r="H9" s="30">
        <v>56341.27</v>
      </c>
      <c r="I9" s="30">
        <v>37974.07</v>
      </c>
    </row>
    <row r="10" spans="2:10" x14ac:dyDescent="0.3">
      <c r="B10" s="25">
        <v>2023</v>
      </c>
      <c r="C10" s="30">
        <v>66043.27</v>
      </c>
      <c r="D10" s="30">
        <v>18753.310000000001</v>
      </c>
      <c r="G10" s="25">
        <v>2023</v>
      </c>
      <c r="H10" s="30">
        <v>66043.27</v>
      </c>
      <c r="I10" s="30">
        <v>42138.3</v>
      </c>
    </row>
    <row r="12" spans="2:10" x14ac:dyDescent="0.3">
      <c r="B12" s="26" t="s">
        <v>115</v>
      </c>
      <c r="C12" s="48">
        <f>AVERAGE(C6:C10)</f>
        <v>51697.004000000001</v>
      </c>
      <c r="D12" s="48">
        <f>AVERAGE(D6:D10)</f>
        <v>14888.638000000001</v>
      </c>
      <c r="E12" s="27"/>
      <c r="F12" s="27"/>
      <c r="G12" s="107" t="s">
        <v>115</v>
      </c>
      <c r="H12" s="48">
        <f>AVERAGE(H6:H10)</f>
        <v>51697.004000000001</v>
      </c>
      <c r="I12" s="48">
        <f>AVERAGE(I6:I10)</f>
        <v>33272.786</v>
      </c>
    </row>
    <row r="13" spans="2:10" x14ac:dyDescent="0.3">
      <c r="B13" s="26" t="s">
        <v>133</v>
      </c>
      <c r="C13" s="25">
        <f>CORREL(C6:C10,D6:D10)</f>
        <v>0.89651757784722064</v>
      </c>
      <c r="D13" s="25"/>
      <c r="G13" s="26" t="s">
        <v>133</v>
      </c>
      <c r="H13" s="25">
        <f>CORREL(H6:H10,I6:I10)</f>
        <v>0.97717484931905141</v>
      </c>
      <c r="I13" s="25"/>
    </row>
    <row r="14" spans="2:10" x14ac:dyDescent="0.3">
      <c r="C14" s="4" t="s">
        <v>134</v>
      </c>
      <c r="D14" s="4"/>
      <c r="E14" s="4"/>
      <c r="F14" s="4"/>
      <c r="G14" s="4"/>
      <c r="H14" s="4" t="s">
        <v>134</v>
      </c>
      <c r="I14" s="4"/>
      <c r="J14" s="4"/>
    </row>
  </sheetData>
  <mergeCells count="1">
    <mergeCell ref="B2:I3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D27C2-A500-4F22-AF6C-4CCB4A41A542}">
  <sheetPr codeName="Sheet8"/>
  <dimension ref="A1:E11"/>
  <sheetViews>
    <sheetView showGridLines="0" workbookViewId="0">
      <selection activeCell="C8" sqref="C8"/>
    </sheetView>
  </sheetViews>
  <sheetFormatPr defaultRowHeight="14.4" x14ac:dyDescent="0.3"/>
  <cols>
    <col min="1" max="1" width="10" customWidth="1"/>
    <col min="2" max="3" width="11.33203125" bestFit="1" customWidth="1"/>
    <col min="4" max="4" width="24" customWidth="1"/>
    <col min="5" max="5" width="24.109375" customWidth="1"/>
  </cols>
  <sheetData>
    <row r="1" spans="1:5" x14ac:dyDescent="0.3">
      <c r="A1" t="s">
        <v>142</v>
      </c>
      <c r="B1" t="s">
        <v>128</v>
      </c>
      <c r="C1" t="s">
        <v>143</v>
      </c>
      <c r="D1" t="s">
        <v>144</v>
      </c>
      <c r="E1" t="s">
        <v>145</v>
      </c>
    </row>
    <row r="2" spans="1:5" x14ac:dyDescent="0.3">
      <c r="A2">
        <v>2019</v>
      </c>
      <c r="B2" s="33">
        <v>44995.65</v>
      </c>
    </row>
    <row r="3" spans="1:5" x14ac:dyDescent="0.3">
      <c r="A3">
        <v>2020</v>
      </c>
      <c r="B3" s="33">
        <v>45619.7</v>
      </c>
    </row>
    <row r="4" spans="1:5" x14ac:dyDescent="0.3">
      <c r="A4">
        <v>2021</v>
      </c>
      <c r="B4" s="33">
        <v>45485.13</v>
      </c>
    </row>
    <row r="5" spans="1:5" x14ac:dyDescent="0.3">
      <c r="A5">
        <v>2022</v>
      </c>
      <c r="B5" s="33">
        <v>56341.27</v>
      </c>
    </row>
    <row r="6" spans="1:5" x14ac:dyDescent="0.3">
      <c r="A6">
        <v>2023</v>
      </c>
      <c r="B6" s="33">
        <v>66043.27</v>
      </c>
      <c r="C6" s="33">
        <v>66043.27</v>
      </c>
      <c r="D6" s="33">
        <v>66043.27</v>
      </c>
      <c r="E6" s="33">
        <v>66043.27</v>
      </c>
    </row>
    <row r="7" spans="1:5" x14ac:dyDescent="0.3">
      <c r="A7">
        <v>2024</v>
      </c>
      <c r="C7" s="33">
        <f>_xlfn.FORECAST.ETS(A7,$B$2:$B$6,$A$2:$A$6,1,1)</f>
        <v>69363.290210537089</v>
      </c>
      <c r="D7" s="33">
        <f>C7-_xlfn.FORECAST.ETS.CONFINT(A7,$B$2:$B$6,$A$2:$A$6,0.95,1,1)</f>
        <v>59915.199147667212</v>
      </c>
      <c r="E7" s="33">
        <f>C7+_xlfn.FORECAST.ETS.CONFINT(A7,$B$2:$B$6,$A$2:$A$6,0.95,1,1)</f>
        <v>78811.381273406965</v>
      </c>
    </row>
    <row r="8" spans="1:5" x14ac:dyDescent="0.3">
      <c r="A8">
        <v>2025</v>
      </c>
      <c r="C8" s="33">
        <f>_xlfn.FORECAST.ETS(A8,$B$2:$B$6,$A$2:$A$6,1,1)</f>
        <v>74994.352627780303</v>
      </c>
      <c r="D8" s="33">
        <f>C8-_xlfn.FORECAST.ETS.CONFINT(A8,$B$2:$B$6,$A$2:$A$6,0.95,1,1)</f>
        <v>64426.836997013103</v>
      </c>
      <c r="E8" s="33">
        <f>C8+_xlfn.FORECAST.ETS.CONFINT(A8,$B$2:$B$6,$A$2:$A$6,0.95,1,1)</f>
        <v>85561.868258547504</v>
      </c>
    </row>
    <row r="9" spans="1:5" x14ac:dyDescent="0.3">
      <c r="A9">
        <v>2026</v>
      </c>
      <c r="C9" s="33">
        <f>_xlfn.FORECAST.ETS(A9,$B$2:$B$6,$A$2:$A$6,1,1)</f>
        <v>80625.415045023517</v>
      </c>
      <c r="D9" s="33">
        <f>C9-_xlfn.FORECAST.ETS.CONFINT(A9,$B$2:$B$6,$A$2:$A$6,0.95,1,1)</f>
        <v>69042.328983669096</v>
      </c>
      <c r="E9" s="33">
        <f>C9+_xlfn.FORECAST.ETS.CONFINT(A9,$B$2:$B$6,$A$2:$A$6,0.95,1,1)</f>
        <v>92208.501106377938</v>
      </c>
    </row>
    <row r="10" spans="1:5" x14ac:dyDescent="0.3">
      <c r="A10">
        <v>2027</v>
      </c>
      <c r="C10" s="33">
        <f>_xlfn.FORECAST.ETS(A10,$B$2:$B$6,$A$2:$A$6,1,1)</f>
        <v>86256.477462266732</v>
      </c>
      <c r="D10" s="33">
        <f>C10-_xlfn.FORECAST.ETS.CONFINT(A10,$B$2:$B$6,$A$2:$A$6,0.95,1,1)</f>
        <v>73736.369972319502</v>
      </c>
      <c r="E10" s="33">
        <f>C10+_xlfn.FORECAST.ETS.CONFINT(A10,$B$2:$B$6,$A$2:$A$6,0.95,1,1)</f>
        <v>98776.584952213962</v>
      </c>
    </row>
    <row r="11" spans="1:5" x14ac:dyDescent="0.3">
      <c r="A11">
        <v>2028</v>
      </c>
      <c r="C11" s="33">
        <f>_xlfn.FORECAST.ETS(A11,$B$2:$B$6,$A$2:$A$6,1,1)</f>
        <v>91887.539879509946</v>
      </c>
      <c r="D11" s="33">
        <f>C11-_xlfn.FORECAST.ETS.CONFINT(A11,$B$2:$B$6,$A$2:$A$6,0.95,1,1)</f>
        <v>78492.459002388379</v>
      </c>
      <c r="E11" s="33">
        <f>C11+_xlfn.FORECAST.ETS.CONFINT(A11,$B$2:$B$6,$A$2:$A$6,0.95,1,1)</f>
        <v>105282.62075663151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824D5-9C40-4FB6-AE30-79565D5B2ED6}">
  <sheetPr codeName="Sheet9"/>
  <dimension ref="A1:E11"/>
  <sheetViews>
    <sheetView showGridLines="0" workbookViewId="0">
      <selection activeCell="J8" sqref="I8:J14"/>
    </sheetView>
  </sheetViews>
  <sheetFormatPr defaultRowHeight="14.4" x14ac:dyDescent="0.3"/>
  <cols>
    <col min="1" max="1" width="9" bestFit="1" customWidth="1"/>
    <col min="2" max="2" width="11.33203125" bestFit="1" customWidth="1"/>
    <col min="3" max="3" width="19.33203125" customWidth="1"/>
    <col min="4" max="4" width="26.6640625" customWidth="1"/>
    <col min="5" max="5" width="26.5546875" customWidth="1"/>
  </cols>
  <sheetData>
    <row r="1" spans="1:5" s="37" customFormat="1" ht="28.8" x14ac:dyDescent="0.3">
      <c r="A1" s="37" t="s">
        <v>129</v>
      </c>
      <c r="B1" s="37" t="s">
        <v>131</v>
      </c>
      <c r="C1" s="37" t="s">
        <v>146</v>
      </c>
      <c r="D1" s="37" t="s">
        <v>147</v>
      </c>
      <c r="E1" s="37" t="s">
        <v>148</v>
      </c>
    </row>
    <row r="2" spans="1:5" x14ac:dyDescent="0.3">
      <c r="A2">
        <v>2019</v>
      </c>
      <c r="B2" s="33">
        <v>12464.32</v>
      </c>
    </row>
    <row r="3" spans="1:5" x14ac:dyDescent="0.3">
      <c r="A3">
        <v>2020</v>
      </c>
      <c r="B3" s="33">
        <v>15136.05</v>
      </c>
    </row>
    <row r="4" spans="1:5" x14ac:dyDescent="0.3">
      <c r="A4">
        <v>2021</v>
      </c>
      <c r="B4" s="33">
        <v>13031.68</v>
      </c>
    </row>
    <row r="5" spans="1:5" x14ac:dyDescent="0.3">
      <c r="A5">
        <v>2022</v>
      </c>
      <c r="B5" s="33">
        <v>15057.83</v>
      </c>
    </row>
    <row r="6" spans="1:5" x14ac:dyDescent="0.3">
      <c r="A6">
        <v>2023</v>
      </c>
      <c r="B6" s="33">
        <v>18753.310000000001</v>
      </c>
      <c r="C6" s="33">
        <v>18753.310000000001</v>
      </c>
      <c r="D6" s="33">
        <v>18753.310000000001</v>
      </c>
      <c r="E6" s="33">
        <v>18753.310000000001</v>
      </c>
    </row>
    <row r="7" spans="1:5" x14ac:dyDescent="0.3">
      <c r="A7">
        <v>2024</v>
      </c>
      <c r="C7" s="33">
        <f>_xlfn.FORECAST.ETS(A7,$B$2:$B$6,$A$2:$A$6,1,1)</f>
        <v>19283.011789875552</v>
      </c>
      <c r="D7" s="33">
        <f>C7-_xlfn.FORECAST.ETS.CONFINT(A7,$B$2:$B$6,$A$2:$A$6,0.95,1,1)</f>
        <v>16602.694600682957</v>
      </c>
      <c r="E7" s="33">
        <f>C7+_xlfn.FORECAST.ETS.CONFINT(A7,$B$2:$B$6,$A$2:$A$6,0.95,1,1)</f>
        <v>21963.328979068148</v>
      </c>
    </row>
    <row r="8" spans="1:5" x14ac:dyDescent="0.3">
      <c r="A8">
        <v>2025</v>
      </c>
      <c r="C8" s="33">
        <f>_xlfn.FORECAST.ETS(A8,$B$2:$B$6,$A$2:$A$6,1,1)</f>
        <v>20646.522936229983</v>
      </c>
      <c r="D8" s="33">
        <f>C8-_xlfn.FORECAST.ETS.CONFINT(A8,$B$2:$B$6,$A$2:$A$6,0.95,1,1)</f>
        <v>17966.193685637172</v>
      </c>
      <c r="E8" s="33">
        <f>C8+_xlfn.FORECAST.ETS.CONFINT(A8,$B$2:$B$6,$A$2:$A$6,0.95,1,1)</f>
        <v>23326.852186822794</v>
      </c>
    </row>
    <row r="9" spans="1:5" x14ac:dyDescent="0.3">
      <c r="A9">
        <v>2026</v>
      </c>
      <c r="C9" s="33">
        <f>_xlfn.FORECAST.ETS(A9,$B$2:$B$6,$A$2:$A$6,1,1)</f>
        <v>22010.034082584418</v>
      </c>
      <c r="D9" s="33">
        <f>C9-_xlfn.FORECAST.ETS.CONFINT(A9,$B$2:$B$6,$A$2:$A$6,0.95,1,1)</f>
        <v>19329.683389636353</v>
      </c>
      <c r="E9" s="33">
        <f>C9+_xlfn.FORECAST.ETS.CONFINT(A9,$B$2:$B$6,$A$2:$A$6,0.95,1,1)</f>
        <v>24690.384775532482</v>
      </c>
    </row>
    <row r="10" spans="1:5" x14ac:dyDescent="0.3">
      <c r="A10">
        <v>2027</v>
      </c>
      <c r="C10" s="33">
        <f>_xlfn.FORECAST.ETS(A10,$B$2:$B$6,$A$2:$A$6,1,1)</f>
        <v>23373.545228938849</v>
      </c>
      <c r="D10" s="33">
        <f>C10-_xlfn.FORECAST.ETS.CONFINT(A10,$B$2:$B$6,$A$2:$A$6,0.95,1,1)</f>
        <v>20693.161032654098</v>
      </c>
      <c r="E10" s="33">
        <f>C10+_xlfn.FORECAST.ETS.CONFINT(A10,$B$2:$B$6,$A$2:$A$6,0.95,1,1)</f>
        <v>26053.9294252236</v>
      </c>
    </row>
    <row r="11" spans="1:5" x14ac:dyDescent="0.3">
      <c r="A11">
        <v>2028</v>
      </c>
      <c r="C11" s="33">
        <f>_xlfn.FORECAST.ETS(A11,$B$2:$B$6,$A$2:$A$6,1,1)</f>
        <v>24737.056375293283</v>
      </c>
      <c r="D11" s="33">
        <f>C11-_xlfn.FORECAST.ETS.CONFINT(A11,$B$2:$B$6,$A$2:$A$6,0.95,1,1)</f>
        <v>22056.623934939398</v>
      </c>
      <c r="E11" s="33">
        <f>C11+_xlfn.FORECAST.ETS.CONFINT(A11,$B$2:$B$6,$A$2:$A$6,0.95,1,1)</f>
        <v>27417.488815647168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6B14F-418E-4DF2-9EB3-00D356E294DB}">
  <sheetPr codeName="Sheet10"/>
  <dimension ref="B2:I16"/>
  <sheetViews>
    <sheetView showGridLines="0" workbookViewId="0">
      <selection activeCell="M18" sqref="M18"/>
    </sheetView>
  </sheetViews>
  <sheetFormatPr defaultRowHeight="14.4" x14ac:dyDescent="0.3"/>
  <cols>
    <col min="3" max="3" width="34.88671875" bestFit="1" customWidth="1"/>
    <col min="4" max="4" width="9.109375" customWidth="1"/>
    <col min="5" max="5" width="10.21875" customWidth="1"/>
  </cols>
  <sheetData>
    <row r="2" spans="2:9" x14ac:dyDescent="0.3">
      <c r="B2" s="122" t="s">
        <v>177</v>
      </c>
      <c r="C2" s="123"/>
      <c r="D2" s="123"/>
      <c r="E2" s="123"/>
      <c r="F2" s="123"/>
      <c r="G2" s="123"/>
      <c r="H2" s="123"/>
      <c r="I2" s="123"/>
    </row>
    <row r="3" spans="2:9" x14ac:dyDescent="0.3">
      <c r="B3" s="123"/>
      <c r="C3" s="123"/>
      <c r="D3" s="123"/>
      <c r="E3" s="123"/>
      <c r="F3" s="123"/>
      <c r="G3" s="123"/>
      <c r="H3" s="123"/>
      <c r="I3" s="123"/>
    </row>
    <row r="4" spans="2:9" ht="15" thickBot="1" x14ac:dyDescent="0.35">
      <c r="B4" s="32"/>
      <c r="C4" s="32"/>
      <c r="D4" s="32"/>
      <c r="E4" s="32"/>
      <c r="F4" s="32"/>
      <c r="G4" s="32"/>
      <c r="H4" s="32"/>
      <c r="I4" s="32"/>
    </row>
    <row r="5" spans="2:9" x14ac:dyDescent="0.3">
      <c r="C5" s="78"/>
      <c r="D5" s="124" t="s">
        <v>155</v>
      </c>
      <c r="E5" s="125"/>
    </row>
    <row r="6" spans="2:9" x14ac:dyDescent="0.3">
      <c r="C6" s="79" t="s">
        <v>158</v>
      </c>
      <c r="D6" s="35" t="s">
        <v>156</v>
      </c>
      <c r="E6" s="80" t="s">
        <v>157</v>
      </c>
      <c r="F6" s="34"/>
      <c r="G6" s="34"/>
      <c r="H6" s="34"/>
      <c r="I6" t="s">
        <v>150</v>
      </c>
    </row>
    <row r="7" spans="2:9" x14ac:dyDescent="0.3">
      <c r="C7" s="19" t="s">
        <v>149</v>
      </c>
      <c r="D7" s="25">
        <v>15.15</v>
      </c>
      <c r="E7" s="20">
        <v>42.4</v>
      </c>
      <c r="I7" t="s">
        <v>150</v>
      </c>
    </row>
    <row r="8" spans="2:9" x14ac:dyDescent="0.3">
      <c r="C8" s="19" t="s">
        <v>151</v>
      </c>
      <c r="D8" s="25">
        <v>28.39</v>
      </c>
      <c r="E8" s="20">
        <v>16.84</v>
      </c>
    </row>
    <row r="9" spans="2:9" x14ac:dyDescent="0.3">
      <c r="C9" s="19" t="s">
        <v>152</v>
      </c>
      <c r="D9" s="25">
        <v>27.74</v>
      </c>
      <c r="E9" s="20">
        <v>19.829999999999998</v>
      </c>
      <c r="I9" t="s">
        <v>150</v>
      </c>
    </row>
    <row r="10" spans="2:9" x14ac:dyDescent="0.3">
      <c r="C10" s="19" t="s">
        <v>153</v>
      </c>
      <c r="D10" s="25">
        <v>35.39</v>
      </c>
      <c r="E10" s="20">
        <v>21.99</v>
      </c>
      <c r="I10" t="s">
        <v>150</v>
      </c>
    </row>
    <row r="11" spans="2:9" ht="15" thickBot="1" x14ac:dyDescent="0.35">
      <c r="C11" s="21" t="s">
        <v>154</v>
      </c>
      <c r="D11" s="40">
        <v>2.84</v>
      </c>
      <c r="E11" s="22">
        <v>1.38</v>
      </c>
    </row>
    <row r="15" spans="2:9" x14ac:dyDescent="0.3">
      <c r="I15" t="s">
        <v>150</v>
      </c>
    </row>
    <row r="16" spans="2:9" x14ac:dyDescent="0.3">
      <c r="I16" t="s">
        <v>150</v>
      </c>
    </row>
  </sheetData>
  <mergeCells count="2">
    <mergeCell ref="D5:E5"/>
    <mergeCell ref="B2:I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0EF24-E27C-4EFD-ABB4-71F24F393E1D}">
  <sheetPr codeName="Sheet11"/>
  <dimension ref="B12:V25"/>
  <sheetViews>
    <sheetView showGridLines="0" tabSelected="1" workbookViewId="0">
      <selection activeCell="Y15" sqref="Y15"/>
    </sheetView>
  </sheetViews>
  <sheetFormatPr defaultRowHeight="14.4" x14ac:dyDescent="0.3"/>
  <cols>
    <col min="1" max="1" width="8.88671875" style="93"/>
    <col min="2" max="2" width="12.109375" style="92" customWidth="1"/>
    <col min="3" max="6" width="8.88671875" style="92"/>
    <col min="7" max="7" width="8.109375" style="92" customWidth="1"/>
    <col min="8" max="16" width="8.88671875" style="93"/>
    <col min="17" max="17" width="7.77734375" style="93" customWidth="1"/>
    <col min="18" max="18" width="8.88671875" style="93"/>
    <col min="19" max="19" width="8.88671875" style="93" customWidth="1"/>
    <col min="20" max="20" width="4.21875" style="93" customWidth="1"/>
    <col min="21" max="21" width="14.109375" style="93" customWidth="1"/>
    <col min="22" max="22" width="5.109375" style="93" customWidth="1"/>
    <col min="23" max="16384" width="8.88671875" style="93"/>
  </cols>
  <sheetData>
    <row r="12" spans="4:22" ht="15.6" x14ac:dyDescent="0.3">
      <c r="D12" s="126" t="s">
        <v>166</v>
      </c>
      <c r="E12" s="126"/>
      <c r="H12" s="126" t="s">
        <v>174</v>
      </c>
      <c r="I12" s="126">
        <f>Workings!C32</f>
        <v>0.28389999999999999</v>
      </c>
      <c r="R12" s="128" t="s">
        <v>182</v>
      </c>
      <c r="S12" s="128"/>
      <c r="T12" s="128"/>
      <c r="U12" s="128"/>
    </row>
    <row r="14" spans="4:22" ht="14.4" customHeight="1" x14ac:dyDescent="0.3">
      <c r="R14" s="126" t="s">
        <v>183</v>
      </c>
      <c r="S14" s="126"/>
      <c r="T14" s="126"/>
      <c r="U14" s="126"/>
      <c r="V14" s="126"/>
    </row>
    <row r="15" spans="4:22" ht="14.4" customHeight="1" x14ac:dyDescent="0.3">
      <c r="R15" s="126"/>
      <c r="S15" s="126"/>
      <c r="T15" s="126"/>
      <c r="U15" s="126"/>
      <c r="V15" s="126"/>
    </row>
    <row r="16" spans="4:22" x14ac:dyDescent="0.3">
      <c r="L16" s="94"/>
    </row>
    <row r="17" spans="3:22" ht="21" customHeight="1" x14ac:dyDescent="0.3">
      <c r="L17" s="94"/>
      <c r="S17" s="95"/>
    </row>
    <row r="18" spans="3:22" ht="14.4" customHeight="1" x14ac:dyDescent="0.3"/>
    <row r="19" spans="3:22" ht="14.4" customHeight="1" x14ac:dyDescent="0.3">
      <c r="U19" s="127"/>
      <c r="V19" s="127"/>
    </row>
    <row r="20" spans="3:22" ht="14.4" customHeight="1" x14ac:dyDescent="0.3">
      <c r="U20" s="127"/>
      <c r="V20" s="127"/>
    </row>
    <row r="21" spans="3:22" ht="14.4" customHeight="1" x14ac:dyDescent="0.3">
      <c r="U21" s="127"/>
      <c r="V21" s="127"/>
    </row>
    <row r="22" spans="3:22" x14ac:dyDescent="0.3">
      <c r="C22" s="92">
        <v>3</v>
      </c>
    </row>
    <row r="25" spans="3:22" ht="25.8" customHeight="1" x14ac:dyDescent="0.3">
      <c r="D25" s="126" t="s">
        <v>168</v>
      </c>
      <c r="E25" s="126">
        <f>Workings!C33</f>
        <v>0.22789999999999999</v>
      </c>
      <c r="H25" s="126" t="s">
        <v>169</v>
      </c>
      <c r="I25" s="126">
        <f>Workings!C34</f>
        <v>1.98</v>
      </c>
    </row>
  </sheetData>
  <mergeCells count="7">
    <mergeCell ref="D12:E12"/>
    <mergeCell ref="H12:I12"/>
    <mergeCell ref="D25:E25"/>
    <mergeCell ref="H25:I25"/>
    <mergeCell ref="U19:V21"/>
    <mergeCell ref="R12:U12"/>
    <mergeCell ref="R14:V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Drop Down 1">
              <controlPr defaultSize="0" autoLine="0" autoPict="0">
                <anchor moveWithCells="1">
                  <from>
                    <xdr:col>0</xdr:col>
                    <xdr:colOff>541020</xdr:colOff>
                    <xdr:row>4</xdr:row>
                    <xdr:rowOff>160020</xdr:rowOff>
                  </from>
                  <to>
                    <xdr:col>1</xdr:col>
                    <xdr:colOff>624840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8B4BE-FBBF-44EE-AF27-7271B450CEDB}">
  <sheetPr codeName="Sheet12"/>
  <dimension ref="B2:O39"/>
  <sheetViews>
    <sheetView zoomScaleNormal="100" workbookViewId="0">
      <selection activeCell="L22" sqref="L22"/>
    </sheetView>
  </sheetViews>
  <sheetFormatPr defaultRowHeight="14.4" x14ac:dyDescent="0.3"/>
  <cols>
    <col min="2" max="2" width="26.33203125" bestFit="1" customWidth="1"/>
    <col min="3" max="3" width="13" customWidth="1"/>
    <col min="4" max="4" width="11.33203125" bestFit="1" customWidth="1"/>
    <col min="5" max="5" width="10.44140625" customWidth="1"/>
    <col min="6" max="6" width="11.21875" customWidth="1"/>
    <col min="7" max="7" width="13.21875" bestFit="1" customWidth="1"/>
    <col min="8" max="8" width="6.33203125" customWidth="1"/>
    <col min="9" max="9" width="19.5546875" customWidth="1"/>
    <col min="10" max="10" width="13.109375" bestFit="1" customWidth="1"/>
    <col min="11" max="14" width="11.77734375" bestFit="1" customWidth="1"/>
  </cols>
  <sheetData>
    <row r="2" spans="2:15" ht="15" thickBot="1" x14ac:dyDescent="0.35"/>
    <row r="3" spans="2:15" ht="16.2" thickBot="1" x14ac:dyDescent="0.35">
      <c r="B3" s="129" t="s">
        <v>165</v>
      </c>
      <c r="C3" s="130"/>
      <c r="D3" s="130"/>
      <c r="E3" s="130"/>
      <c r="F3" s="130"/>
      <c r="G3" s="131"/>
      <c r="I3" s="132" t="s">
        <v>181</v>
      </c>
      <c r="J3" s="133"/>
      <c r="K3" s="133"/>
      <c r="L3" s="133"/>
      <c r="M3" s="133"/>
      <c r="N3" s="134"/>
    </row>
    <row r="4" spans="2:15" s="4" customFormat="1" ht="16.2" thickBot="1" x14ac:dyDescent="0.35">
      <c r="B4" s="50"/>
      <c r="C4" s="51">
        <v>2023</v>
      </c>
      <c r="D4" s="51">
        <v>2022</v>
      </c>
      <c r="E4" s="51">
        <v>2021</v>
      </c>
      <c r="F4" s="51">
        <v>2020</v>
      </c>
      <c r="G4" s="52">
        <v>2019</v>
      </c>
      <c r="I4" s="83"/>
      <c r="J4" s="84">
        <v>2023</v>
      </c>
      <c r="K4" s="84">
        <v>2022</v>
      </c>
      <c r="L4" s="84">
        <v>2021</v>
      </c>
      <c r="M4" s="84">
        <v>2020</v>
      </c>
      <c r="N4" s="85">
        <v>2019</v>
      </c>
      <c r="O4"/>
    </row>
    <row r="5" spans="2:15" ht="21.6" customHeight="1" thickTop="1" x14ac:dyDescent="0.3">
      <c r="B5" s="38" t="s">
        <v>130</v>
      </c>
      <c r="C5" s="97">
        <v>70936</v>
      </c>
      <c r="D5" s="97">
        <v>60668</v>
      </c>
      <c r="E5" s="97">
        <v>49272</v>
      </c>
      <c r="F5" s="97">
        <v>49404</v>
      </c>
      <c r="G5" s="98">
        <v>48352</v>
      </c>
      <c r="I5" s="60" t="s">
        <v>179</v>
      </c>
      <c r="J5" s="101">
        <v>12415.62</v>
      </c>
      <c r="K5" s="101">
        <v>11478.09</v>
      </c>
      <c r="L5" s="101">
        <v>10173.950000000001</v>
      </c>
      <c r="M5" s="101">
        <v>9089.41</v>
      </c>
      <c r="N5" s="102">
        <v>9621.56</v>
      </c>
      <c r="O5" s="88">
        <v>12415.62</v>
      </c>
    </row>
    <row r="6" spans="2:15" ht="22.8" customHeight="1" x14ac:dyDescent="0.3">
      <c r="B6" s="39" t="s">
        <v>75</v>
      </c>
      <c r="C6" s="99">
        <v>1980</v>
      </c>
      <c r="D6" s="99">
        <v>1836</v>
      </c>
      <c r="E6" s="99">
        <v>2632</v>
      </c>
      <c r="F6" s="99">
        <v>2597</v>
      </c>
      <c r="G6" s="100">
        <v>2173</v>
      </c>
      <c r="I6" s="60" t="s">
        <v>180</v>
      </c>
      <c r="J6" s="101">
        <v>35203.440000000002</v>
      </c>
      <c r="K6" s="101">
        <v>30942.01</v>
      </c>
      <c r="L6" s="101">
        <v>31815.24</v>
      </c>
      <c r="M6" s="101">
        <v>36506.910000000003</v>
      </c>
      <c r="N6" s="102">
        <v>29568.959999999999</v>
      </c>
      <c r="O6" s="86">
        <v>35203.440000000002</v>
      </c>
    </row>
    <row r="7" spans="2:15" ht="15.6" x14ac:dyDescent="0.3">
      <c r="B7" s="39" t="s">
        <v>77</v>
      </c>
      <c r="C7" s="99">
        <v>72917</v>
      </c>
      <c r="D7" s="99">
        <v>62504</v>
      </c>
      <c r="E7" s="99">
        <v>51905</v>
      </c>
      <c r="F7" s="99">
        <v>52001</v>
      </c>
      <c r="G7" s="100">
        <v>50526</v>
      </c>
      <c r="I7" s="89" t="s">
        <v>178</v>
      </c>
      <c r="J7" s="103">
        <f>J6-J5</f>
        <v>22787.82</v>
      </c>
      <c r="K7" s="103">
        <f t="shared" ref="K7:M7" si="0">K6-K5</f>
        <v>19463.919999999998</v>
      </c>
      <c r="L7" s="103">
        <f t="shared" si="0"/>
        <v>21641.29</v>
      </c>
      <c r="M7" s="103">
        <f t="shared" si="0"/>
        <v>27417.500000000004</v>
      </c>
      <c r="N7" s="104">
        <f>N6-N5</f>
        <v>19947.400000000001</v>
      </c>
      <c r="O7" s="87">
        <f>O6-O5</f>
        <v>22787.82</v>
      </c>
    </row>
    <row r="8" spans="2:15" ht="15" thickBot="1" x14ac:dyDescent="0.35">
      <c r="B8" s="39" t="s">
        <v>163</v>
      </c>
      <c r="C8" s="99">
        <v>47008</v>
      </c>
      <c r="D8" s="99">
        <v>41742</v>
      </c>
      <c r="E8" s="99">
        <v>33915</v>
      </c>
      <c r="F8" s="99">
        <v>31920</v>
      </c>
      <c r="G8" s="100">
        <v>31342</v>
      </c>
      <c r="I8" s="21" t="s">
        <v>184</v>
      </c>
      <c r="J8" s="90">
        <f>(J7-K7)/K7</f>
        <v>0.17077238295266328</v>
      </c>
      <c r="K8" s="90">
        <f>(K7-L7)/L7</f>
        <v>-0.10061183968238505</v>
      </c>
      <c r="L8" s="90">
        <f>(L7-M7)/M7</f>
        <v>-0.21067602808425284</v>
      </c>
      <c r="M8" s="90">
        <f>(M7-N7)/N7</f>
        <v>0.3744899084592479</v>
      </c>
      <c r="N8" s="91">
        <f>(N7-O7)/O7</f>
        <v>-0.12464641198675425</v>
      </c>
    </row>
    <row r="9" spans="2:15" x14ac:dyDescent="0.3">
      <c r="B9" s="39" t="s">
        <v>164</v>
      </c>
      <c r="C9" s="99">
        <v>25909</v>
      </c>
      <c r="D9" s="99">
        <v>20762</v>
      </c>
      <c r="E9" s="99">
        <v>17989</v>
      </c>
      <c r="F9" s="99">
        <v>20081</v>
      </c>
      <c r="G9" s="100">
        <v>19183</v>
      </c>
    </row>
    <row r="10" spans="2:15" x14ac:dyDescent="0.3">
      <c r="B10" s="39" t="s">
        <v>85</v>
      </c>
      <c r="C10" s="99">
        <v>43</v>
      </c>
      <c r="D10" s="99">
        <v>39</v>
      </c>
      <c r="E10" s="99">
        <v>44</v>
      </c>
      <c r="F10" s="99">
        <v>54</v>
      </c>
      <c r="G10" s="100">
        <v>45</v>
      </c>
    </row>
    <row r="11" spans="2:15" x14ac:dyDescent="0.3">
      <c r="B11" s="39" t="s">
        <v>90</v>
      </c>
      <c r="C11" s="99">
        <v>6438</v>
      </c>
      <c r="D11" s="99">
        <v>5237</v>
      </c>
      <c r="E11" s="99">
        <v>4555</v>
      </c>
      <c r="F11" s="99">
        <v>4441</v>
      </c>
      <c r="G11" s="100">
        <v>6313</v>
      </c>
      <c r="I11" s="28" t="s">
        <v>71</v>
      </c>
      <c r="J11" s="28" t="s">
        <v>132</v>
      </c>
    </row>
    <row r="12" spans="2:15" x14ac:dyDescent="0.3">
      <c r="B12" s="39" t="s">
        <v>131</v>
      </c>
      <c r="C12" s="99">
        <v>19427</v>
      </c>
      <c r="D12" s="99">
        <v>15485</v>
      </c>
      <c r="E12" s="99">
        <v>13389</v>
      </c>
      <c r="F12" s="99">
        <v>15584</v>
      </c>
      <c r="G12" s="100">
        <v>12824</v>
      </c>
      <c r="I12" s="105">
        <f>C25</f>
        <v>72917</v>
      </c>
      <c r="J12" s="105">
        <f>C26</f>
        <v>47008</v>
      </c>
    </row>
    <row r="13" spans="2:15" x14ac:dyDescent="0.3">
      <c r="B13" s="41" t="s">
        <v>166</v>
      </c>
      <c r="C13" s="42">
        <v>3.8899999999999997E-2</v>
      </c>
      <c r="D13" s="42">
        <v>3.9199999999999999E-2</v>
      </c>
      <c r="E13" s="42">
        <v>3.9399999999999998E-2</v>
      </c>
      <c r="F13" s="42">
        <v>4.5600000000000002E-2</v>
      </c>
      <c r="G13" s="43">
        <v>3.73E-2</v>
      </c>
    </row>
    <row r="14" spans="2:15" x14ac:dyDescent="0.3">
      <c r="B14" s="41" t="s">
        <v>167</v>
      </c>
      <c r="C14" s="42">
        <v>0.28389999999999999</v>
      </c>
      <c r="D14" s="42">
        <v>0.26719999999999999</v>
      </c>
      <c r="E14" s="42">
        <v>0.28649999999999998</v>
      </c>
      <c r="F14" s="42">
        <v>0.33169999999999999</v>
      </c>
      <c r="G14" s="43">
        <v>0.27700000000000002</v>
      </c>
      <c r="I14" s="25" t="s">
        <v>71</v>
      </c>
      <c r="J14" s="29">
        <f>C25</f>
        <v>72917</v>
      </c>
    </row>
    <row r="15" spans="2:15" x14ac:dyDescent="0.3">
      <c r="B15" s="41" t="s">
        <v>168</v>
      </c>
      <c r="C15" s="42">
        <v>0.22789999999999999</v>
      </c>
      <c r="D15" s="42">
        <v>0.20050000000000001</v>
      </c>
      <c r="E15" s="42">
        <v>0.182</v>
      </c>
      <c r="F15" s="42">
        <v>0.2011</v>
      </c>
      <c r="G15" s="43">
        <v>0.17849999999999999</v>
      </c>
      <c r="I15" s="25" t="s">
        <v>173</v>
      </c>
      <c r="J15" s="29">
        <f>C26</f>
        <v>47008</v>
      </c>
    </row>
    <row r="16" spans="2:15" x14ac:dyDescent="0.3">
      <c r="B16" s="41" t="s">
        <v>169</v>
      </c>
      <c r="C16" s="25">
        <v>1.98</v>
      </c>
      <c r="D16" s="25">
        <v>1.82</v>
      </c>
      <c r="E16" s="25">
        <v>2.2000000000000002</v>
      </c>
      <c r="F16" s="25">
        <v>3.13</v>
      </c>
      <c r="G16" s="20">
        <v>2.2799999999999998</v>
      </c>
      <c r="I16" s="25" t="str">
        <f>B29</f>
        <v>Tax</v>
      </c>
      <c r="J16" s="29">
        <f>C29</f>
        <v>6438</v>
      </c>
    </row>
    <row r="17" spans="2:10" x14ac:dyDescent="0.3">
      <c r="B17" s="41" t="s">
        <v>170</v>
      </c>
      <c r="C17" s="25">
        <v>2.84</v>
      </c>
      <c r="D17" s="25">
        <v>2.7</v>
      </c>
      <c r="E17" s="25">
        <v>3.13</v>
      </c>
      <c r="F17" s="25">
        <v>4.0199999999999996</v>
      </c>
      <c r="G17" s="20">
        <v>3.07</v>
      </c>
      <c r="I17" s="25" t="str">
        <f>B30</f>
        <v>Net Profit</v>
      </c>
      <c r="J17" s="29">
        <f>C30</f>
        <v>19427</v>
      </c>
    </row>
    <row r="18" spans="2:10" ht="15" thickBot="1" x14ac:dyDescent="0.35">
      <c r="B18" s="49" t="s">
        <v>171</v>
      </c>
      <c r="C18" s="40">
        <v>15.15</v>
      </c>
      <c r="D18" s="40">
        <v>12.22</v>
      </c>
      <c r="E18" s="40">
        <v>10.59</v>
      </c>
      <c r="F18" s="40">
        <v>12.33</v>
      </c>
      <c r="G18" s="22">
        <v>10.19</v>
      </c>
      <c r="I18" s="26" t="s">
        <v>172</v>
      </c>
      <c r="J18" s="106">
        <f>SUM(J14:J17)</f>
        <v>145790</v>
      </c>
    </row>
    <row r="22" spans="2:10" x14ac:dyDescent="0.3">
      <c r="B22" s="25"/>
      <c r="C22" s="25">
        <v>1</v>
      </c>
      <c r="D22" s="25"/>
    </row>
    <row r="23" spans="2:10" x14ac:dyDescent="0.3">
      <c r="B23" s="53" t="s">
        <v>130</v>
      </c>
      <c r="C23" s="29" cm="1">
        <f t="array" ref="C23">INDEX($C$5:$G$18,MATCH(B23,$B$5:$B$18,0),C22)</f>
        <v>70936</v>
      </c>
      <c r="D23" s="29">
        <f>MAX(C5:G5)</f>
        <v>70936</v>
      </c>
      <c r="G23" s="46">
        <v>2023</v>
      </c>
    </row>
    <row r="24" spans="2:10" x14ac:dyDescent="0.3">
      <c r="B24" s="53" t="s">
        <v>75</v>
      </c>
      <c r="C24" s="29" cm="1">
        <f t="array" ref="C24">INDEX($C$5:$G$18,MATCH(B24,$B$5:$B$18,0),$C$22)</f>
        <v>1980</v>
      </c>
      <c r="D24" s="29">
        <f t="shared" ref="D24:D36" si="1">MAX(C6:G6)</f>
        <v>2632</v>
      </c>
      <c r="G24" s="46">
        <v>2022</v>
      </c>
    </row>
    <row r="25" spans="2:10" x14ac:dyDescent="0.3">
      <c r="B25" s="53" t="s">
        <v>77</v>
      </c>
      <c r="C25" s="29" cm="1">
        <f t="array" ref="C25">INDEX($C$5:$G$18,MATCH(B25,$B$5:$B$18,0),$C$22)</f>
        <v>72917</v>
      </c>
      <c r="D25" s="29">
        <f t="shared" si="1"/>
        <v>72917</v>
      </c>
      <c r="G25" s="46">
        <v>2021</v>
      </c>
    </row>
    <row r="26" spans="2:10" x14ac:dyDescent="0.3">
      <c r="B26" s="53" t="s">
        <v>163</v>
      </c>
      <c r="C26" s="29" cm="1">
        <f t="array" ref="C26">INDEX($C$5:$G$18,MATCH(B26,$B$5:$B$18,0),$C$22)</f>
        <v>47008</v>
      </c>
      <c r="D26" s="29">
        <f t="shared" si="1"/>
        <v>47008</v>
      </c>
      <c r="G26" s="46">
        <v>2020</v>
      </c>
    </row>
    <row r="27" spans="2:10" x14ac:dyDescent="0.3">
      <c r="B27" s="53" t="s">
        <v>164</v>
      </c>
      <c r="C27" s="29" cm="1">
        <f t="array" ref="C27">INDEX($C$5:$G$18,MATCH(B27,$B$5:$B$18,0),$C$22)</f>
        <v>25909</v>
      </c>
      <c r="D27" s="29">
        <f t="shared" si="1"/>
        <v>25909</v>
      </c>
      <c r="G27" s="46">
        <v>2019</v>
      </c>
    </row>
    <row r="28" spans="2:10" x14ac:dyDescent="0.3">
      <c r="B28" s="53" t="s">
        <v>85</v>
      </c>
      <c r="C28" s="29" cm="1">
        <f t="array" ref="C28">INDEX($C$5:$G$18,MATCH(B28,$B$5:$B$18,0),$C$22)</f>
        <v>43</v>
      </c>
      <c r="D28" s="29">
        <f t="shared" si="1"/>
        <v>54</v>
      </c>
    </row>
    <row r="29" spans="2:10" x14ac:dyDescent="0.3">
      <c r="B29" s="53" t="s">
        <v>90</v>
      </c>
      <c r="C29" s="29" cm="1">
        <f t="array" ref="C29">INDEX($C$5:$G$18,MATCH(B29,$B$5:$B$18,0),$C$22)</f>
        <v>6438</v>
      </c>
      <c r="D29" s="29">
        <f t="shared" si="1"/>
        <v>6438</v>
      </c>
    </row>
    <row r="30" spans="2:10" x14ac:dyDescent="0.3">
      <c r="B30" s="53" t="s">
        <v>131</v>
      </c>
      <c r="C30" s="29" cm="1">
        <f t="array" ref="C30">INDEX($C$5:$G$18,MATCH(B30,$B$5:$B$18,0),$C$22)</f>
        <v>19427</v>
      </c>
      <c r="D30" s="29">
        <f t="shared" si="1"/>
        <v>19427</v>
      </c>
      <c r="I30" s="54"/>
      <c r="J30" s="54"/>
    </row>
    <row r="31" spans="2:10" x14ac:dyDescent="0.3">
      <c r="B31" s="44" t="s">
        <v>166</v>
      </c>
      <c r="C31" s="47" cm="1">
        <f t="array" ref="C31">INDEX($C$5:$G$18,MATCH(B31,$B$5:$B$18,0),$C$22)</f>
        <v>3.8899999999999997E-2</v>
      </c>
      <c r="D31" s="47">
        <f t="shared" si="1"/>
        <v>4.5600000000000002E-2</v>
      </c>
      <c r="I31" s="54"/>
      <c r="J31" s="54"/>
    </row>
    <row r="32" spans="2:10" x14ac:dyDescent="0.3">
      <c r="B32" s="44" t="s">
        <v>167</v>
      </c>
      <c r="C32" s="47" cm="1">
        <f t="array" ref="C32">INDEX($C$5:$G$18,MATCH(B32,$B$5:$B$18,0),$C$22)</f>
        <v>0.28389999999999999</v>
      </c>
      <c r="D32" s="47">
        <f t="shared" si="1"/>
        <v>0.33169999999999999</v>
      </c>
    </row>
    <row r="33" spans="2:4" x14ac:dyDescent="0.3">
      <c r="B33" s="44" t="s">
        <v>168</v>
      </c>
      <c r="C33" s="47" cm="1">
        <f t="array" ref="C33">INDEX($C$5:$G$18,MATCH(B33,$B$5:$B$18,0),$C$22)</f>
        <v>0.22789999999999999</v>
      </c>
      <c r="D33" s="47">
        <f t="shared" si="1"/>
        <v>0.22789999999999999</v>
      </c>
    </row>
    <row r="34" spans="2:4" x14ac:dyDescent="0.3">
      <c r="B34" s="44" t="s">
        <v>169</v>
      </c>
      <c r="C34" s="25" cm="1">
        <f t="array" ref="C34">INDEX($C$5:$G$18,MATCH(B34,$B$5:$B$18,0),$C$22)</f>
        <v>1.98</v>
      </c>
      <c r="D34" s="48">
        <f>MAX(C16:G16)</f>
        <v>3.13</v>
      </c>
    </row>
    <row r="35" spans="2:4" x14ac:dyDescent="0.3">
      <c r="B35" s="44" t="s">
        <v>170</v>
      </c>
      <c r="C35" s="25" cm="1">
        <f t="array" ref="C35">INDEX($C$5:$G$18,MATCH(B35,$B$5:$B$18,0),$C$22)</f>
        <v>2.84</v>
      </c>
      <c r="D35" s="48">
        <f t="shared" si="1"/>
        <v>4.0199999999999996</v>
      </c>
    </row>
    <row r="36" spans="2:4" x14ac:dyDescent="0.3">
      <c r="B36" s="45" t="s">
        <v>171</v>
      </c>
      <c r="C36" s="25" cm="1">
        <f t="array" ref="C36">INDEX($C$5:$G$18,MATCH(B36,$B$5:$B$18,0),$C$22)</f>
        <v>15.15</v>
      </c>
      <c r="D36" s="48">
        <f t="shared" si="1"/>
        <v>15.15</v>
      </c>
    </row>
    <row r="37" spans="2:4" x14ac:dyDescent="0.3">
      <c r="B37" s="44" t="str">
        <f>I8</f>
        <v xml:space="preserve">% Change </v>
      </c>
      <c r="C37" s="47" cm="1">
        <f t="array" ref="C37">INDEX($J$5:$N$8,MATCH(B37,$I$5:$I$8,0),C22)</f>
        <v>0.17077238295266328</v>
      </c>
      <c r="D37" s="42">
        <f>MAX(J8:N8)</f>
        <v>0.3744899084592479</v>
      </c>
    </row>
    <row r="38" spans="2:4" x14ac:dyDescent="0.3">
      <c r="B38" s="96" t="s">
        <v>179</v>
      </c>
      <c r="C38" s="29" cm="1">
        <f t="array" ref="C38">INDEX($J$5:$N$6,MATCH(B38,$I$5:$I$6,0),$C$22)</f>
        <v>12415.62</v>
      </c>
      <c r="D38" s="29">
        <f>MAX(J5:N5)</f>
        <v>12415.62</v>
      </c>
    </row>
    <row r="39" spans="2:4" x14ac:dyDescent="0.3">
      <c r="B39" s="96" t="s">
        <v>180</v>
      </c>
      <c r="C39" s="29" cm="1">
        <f t="array" ref="C39">INDEX($J$5:$N$6,MATCH(B39,$I$5:$I$6,0),$C$22)</f>
        <v>35203.440000000002</v>
      </c>
      <c r="D39" s="29">
        <f>MAX(J6:N6)</f>
        <v>36506.910000000003</v>
      </c>
    </row>
  </sheetData>
  <mergeCells count="2">
    <mergeCell ref="B3:G3"/>
    <mergeCell ref="I3:N3"/>
  </mergeCells>
  <pageMargins left="0.7" right="0.7" top="0.75" bottom="0.75" header="0.3" footer="0.3"/>
  <ignoredErrors>
    <ignoredError sqref="D38:D39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3" name="Drop Down 3">
              <controlPr defaultSize="0" autoLine="0" autoPict="0">
                <anchor moveWithCells="1">
                  <from>
                    <xdr:col>4</xdr:col>
                    <xdr:colOff>579120</xdr:colOff>
                    <xdr:row>22</xdr:row>
                    <xdr:rowOff>7620</xdr:rowOff>
                  </from>
                  <to>
                    <xdr:col>6</xdr:col>
                    <xdr:colOff>30480</xdr:colOff>
                    <xdr:row>23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2F0AAE6-ED54-4FCA-BA3D-40336C29A1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Home Page</vt:lpstr>
      <vt:lpstr>Balance Sheet</vt:lpstr>
      <vt:lpstr>P&amp;L</vt:lpstr>
      <vt:lpstr>Stock Data</vt:lpstr>
      <vt:lpstr>Desc Stats</vt:lpstr>
      <vt:lpstr>Regression</vt:lpstr>
      <vt:lpstr>Correlation</vt:lpstr>
      <vt:lpstr>Sales Forecast</vt:lpstr>
      <vt:lpstr>Profit Forecast</vt:lpstr>
      <vt:lpstr>Competitor Analysis</vt:lpstr>
      <vt:lpstr>Dashboard</vt:lpstr>
      <vt:lpstr>Workings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Aishwarya Galdinus</dc:creator>
  <cp:lastModifiedBy>Aishwarya Galdinus</cp:lastModifiedBy>
  <dcterms:created xsi:type="dcterms:W3CDTF">2023-10-22T09:00:15Z</dcterms:created>
  <dcterms:modified xsi:type="dcterms:W3CDTF">2024-04-21T16:27:07Z</dcterms:modified>
</cp:coreProperties>
</file>